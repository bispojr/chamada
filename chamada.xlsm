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90" yWindow="3690" windowWidth="15600" windowHeight="4305" tabRatio="704" activeTab="2"/>
  </bookViews>
  <sheets>
    <sheet name="Planilha" sheetId="3" r:id="rId1"/>
    <sheet name="jan_2 (2)" sheetId="19" state="hidden" r:id="rId2"/>
    <sheet name="Interface" sheetId="36" r:id="rId3"/>
    <sheet name="Diario" sheetId="37" state="hidden" r:id="rId4"/>
  </sheets>
  <calcPr calcId="124519"/>
</workbook>
</file>

<file path=xl/calcChain.xml><?xml version="1.0" encoding="utf-8"?>
<calcChain xmlns="http://schemas.openxmlformats.org/spreadsheetml/2006/main">
  <c r="A11" i="3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"/>
  <c r="D11"/>
  <c r="AH18" i="19" l="1"/>
  <c r="AG18"/>
  <c r="A18"/>
  <c r="AH17"/>
  <c r="AG17"/>
  <c r="A17"/>
  <c r="AH16"/>
  <c r="AG16"/>
  <c r="AH15"/>
  <c r="AG15"/>
  <c r="A15"/>
  <c r="AH14"/>
  <c r="AG14"/>
  <c r="A14"/>
  <c r="AH13"/>
  <c r="AG13"/>
  <c r="AH12"/>
  <c r="AG12"/>
  <c r="A12"/>
  <c r="AH11"/>
  <c r="AG11"/>
  <c r="A11"/>
  <c r="AH10"/>
  <c r="AG10"/>
</calcChain>
</file>

<file path=xl/sharedStrings.xml><?xml version="1.0" encoding="utf-8"?>
<sst xmlns="http://schemas.openxmlformats.org/spreadsheetml/2006/main" count="360" uniqueCount="62">
  <si>
    <t>Sistema Acadêmico de Graduação</t>
  </si>
  <si>
    <t>Docente:</t>
  </si>
  <si>
    <t>Disciplina:</t>
  </si>
  <si>
    <t>Diário de Classe - Ficha de Frequência</t>
  </si>
  <si>
    <t xml:space="preserve">Mês: </t>
  </si>
  <si>
    <t>Matrícula</t>
  </si>
  <si>
    <t>Aluno</t>
  </si>
  <si>
    <t>WALTER MATOS ROCHA NETO</t>
  </si>
  <si>
    <t>F</t>
  </si>
  <si>
    <t>RAFAEL TOMAZ PARREIRA</t>
  </si>
  <si>
    <t>RESLLEY GABRIEL OLIVEIRA SILVA</t>
  </si>
  <si>
    <t>THYAGO PERES CARVALHO</t>
  </si>
  <si>
    <t>VINICIUS PEREIRA FARIA</t>
  </si>
  <si>
    <t>WALTER JOSE DA SILVA</t>
  </si>
  <si>
    <t>WEDER CABRAL MENDES</t>
  </si>
  <si>
    <t>WESLLEY DA SILVA BORGES</t>
  </si>
  <si>
    <t>WILLIAN CANDIDO ARRAIS</t>
  </si>
  <si>
    <t>184 - MULTIMÍDIA</t>
  </si>
  <si>
    <t>P</t>
  </si>
  <si>
    <t>Dia</t>
  </si>
  <si>
    <t>SAG</t>
  </si>
  <si>
    <t>Data: 07/12/2012 13:28:34   Página 1 de 2</t>
  </si>
  <si>
    <t>Universidade Federal de Goiás</t>
  </si>
  <si>
    <r>
      <rPr>
        <b/>
        <sz val="10"/>
        <color theme="1"/>
        <rFont val="Times New Roman"/>
        <family val="1"/>
      </rPr>
      <t>CHTS:</t>
    </r>
    <r>
      <rPr>
        <sz val="10"/>
        <color theme="1"/>
        <rFont val="Times New Roman"/>
        <family val="1"/>
      </rPr>
      <t xml:space="preserve"> 64</t>
    </r>
  </si>
  <si>
    <r>
      <rPr>
        <b/>
        <sz val="10"/>
        <color theme="1"/>
        <rFont val="Times New Roman"/>
        <family val="1"/>
      </rPr>
      <t>Curso:</t>
    </r>
    <r>
      <rPr>
        <sz val="10"/>
        <color theme="1"/>
        <rFont val="Times New Roman"/>
        <family val="1"/>
      </rPr>
      <t xml:space="preserve"> CIÊNCIAS DA COMPUTAÇÃO - BACHARELADO</t>
    </r>
  </si>
  <si>
    <r>
      <rPr>
        <b/>
        <sz val="10"/>
        <color theme="1"/>
        <rFont val="Times New Roman"/>
        <family val="1"/>
      </rPr>
      <t>Turma:</t>
    </r>
    <r>
      <rPr>
        <sz val="10"/>
        <color theme="1"/>
        <rFont val="Times New Roman"/>
        <family val="1"/>
      </rPr>
      <t xml:space="preserve"> A</t>
    </r>
  </si>
  <si>
    <r>
      <t>Semestre:</t>
    </r>
    <r>
      <rPr>
        <sz val="10"/>
        <color theme="1"/>
        <rFont val="Times New Roman"/>
        <family val="1"/>
      </rPr>
      <t xml:space="preserve">     2</t>
    </r>
  </si>
  <si>
    <t xml:space="preserve">  Total de alunos matriculados =&gt; 34</t>
  </si>
  <si>
    <t>ESDRAS LINS BISPO JÚNIOR</t>
  </si>
  <si>
    <t>443293 - ESDRAS LINS BISPO JÚNIOR</t>
  </si>
  <si>
    <t>JANEIRO</t>
  </si>
  <si>
    <r>
      <t xml:space="preserve">   </t>
    </r>
    <r>
      <rPr>
        <b/>
        <sz val="10"/>
        <color theme="1"/>
        <rFont val="Times New Roman"/>
        <family val="1"/>
      </rPr>
      <t>Ano:</t>
    </r>
    <r>
      <rPr>
        <sz val="10"/>
        <color theme="1"/>
        <rFont val="Times New Roman"/>
        <family val="1"/>
      </rPr>
      <t xml:space="preserve">           2013</t>
    </r>
  </si>
  <si>
    <r>
      <rPr>
        <b/>
        <sz val="10"/>
        <color theme="1"/>
        <rFont val="Times New Roman"/>
        <family val="1"/>
      </rPr>
      <t>Ano:</t>
    </r>
    <r>
      <rPr>
        <sz val="10"/>
        <color theme="1"/>
        <rFont val="Times New Roman"/>
        <family val="1"/>
      </rPr>
      <t xml:space="preserve">           2012</t>
    </r>
  </si>
  <si>
    <t>CLEBER FERNANDES RIBEIRO</t>
  </si>
  <si>
    <t>DEIVID DOS SANTOS ALVES</t>
  </si>
  <si>
    <t>DIEGO DE OLIVEIRA BRAGA</t>
  </si>
  <si>
    <t>EDMUNDO DIAS MORAES NETO</t>
  </si>
  <si>
    <t>FABIOLA TRENTIN PALHARINI</t>
  </si>
  <si>
    <t>FREDERICO ASSIS CARVALHO</t>
  </si>
  <si>
    <t>GEAN BALDUINO DA SILVA</t>
  </si>
  <si>
    <t>GIANCARLO SANTANA BATISTA FLEURI</t>
  </si>
  <si>
    <t>GUILHERME CARDOSO JAPONÊS</t>
  </si>
  <si>
    <t>GUILHERME DE FREITAS NERY</t>
  </si>
  <si>
    <t>HIAGO DE ASSIS SILVA</t>
  </si>
  <si>
    <t>JHONATAN THALLISSON CABRAL NERY</t>
  </si>
  <si>
    <t>JOÃO BATISTA FERREIRA DE FREITAS JÚNIOR</t>
  </si>
  <si>
    <t>MARCUS VINICIUS DIAS MAIA</t>
  </si>
  <si>
    <t>MURILLO RODRIGUES SILVA</t>
  </si>
  <si>
    <t>PAULO HENRIQUE TEIXEIRA RODRIGUES</t>
  </si>
  <si>
    <t>VINICIUS SOUZA DO NASCIMENTO</t>
  </si>
  <si>
    <t>WELINGTON MAURO THOMAZ DE OLIVEIRA</t>
  </si>
  <si>
    <t>177 - INTELIGÊNCIA ARTIFICIAL</t>
  </si>
  <si>
    <t>Anexo do Diário de Classe</t>
  </si>
  <si>
    <r>
      <t>Semestre:</t>
    </r>
    <r>
      <rPr>
        <sz val="10"/>
        <color theme="1"/>
        <rFont val="Times New Roman"/>
        <family val="1"/>
      </rPr>
      <t xml:space="preserve">     1</t>
    </r>
  </si>
  <si>
    <r>
      <rPr>
        <b/>
        <sz val="10"/>
        <color theme="1"/>
        <rFont val="Times New Roman"/>
        <family val="1"/>
      </rPr>
      <t>Ano:</t>
    </r>
    <r>
      <rPr>
        <sz val="10"/>
        <color theme="1"/>
        <rFont val="Times New Roman"/>
        <family val="1"/>
      </rPr>
      <t xml:space="preserve">           2013</t>
    </r>
  </si>
  <si>
    <t>177 -INTELIGÊNCIA ARTIFICIAL</t>
  </si>
  <si>
    <t xml:space="preserve"> 15/ 4</t>
  </si>
  <si>
    <t>Apresentação da disciplina. Definições de inteligência artificial: pensar x agir, forma humana x forma racional.</t>
  </si>
  <si>
    <t xml:space="preserve"> 3/ 3</t>
  </si>
  <si>
    <t xml:space="preserve"> 3/ 4</t>
  </si>
  <si>
    <t xml:space="preserve"> 3/ 5</t>
  </si>
  <si>
    <t xml:space="preserve"> 2/ 4</t>
  </si>
</sst>
</file>

<file path=xl/styles.xml><?xml version="1.0" encoding="utf-8"?>
<styleSheet xmlns="http://schemas.openxmlformats.org/spreadsheetml/2006/main">
  <numFmts count="2">
    <numFmt numFmtId="164" formatCode="[$-409]General"/>
    <numFmt numFmtId="165" formatCode="dd/mm/yy;@"/>
  </numFmts>
  <fonts count="15">
    <font>
      <sz val="11"/>
      <color theme="1"/>
      <name val="Calibri"/>
      <family val="2"/>
      <scheme val="minor"/>
    </font>
    <font>
      <sz val="11"/>
      <color rgb="FF000000"/>
      <name val="Courier New"/>
      <family val="3"/>
    </font>
    <font>
      <b/>
      <sz val="10"/>
      <color rgb="FF00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theme="1"/>
      <name val="Times New Roman"/>
      <family val="1"/>
    </font>
    <font>
      <sz val="10"/>
      <color rgb="FFFF000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sz val="10"/>
      <color rgb="FF00B050"/>
      <name val="Times New Roman"/>
      <family val="1"/>
    </font>
    <font>
      <b/>
      <sz val="10"/>
      <color rgb="FF00B050"/>
      <name val="Times New Roman"/>
      <family val="1"/>
    </font>
    <font>
      <b/>
      <sz val="10"/>
      <color rgb="FFFF0000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ECF1F8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164" fontId="0" fillId="0" borderId="0"/>
  </cellStyleXfs>
  <cellXfs count="107">
    <xf numFmtId="164" fontId="0" fillId="0" borderId="0" xfId="0"/>
    <xf numFmtId="164" fontId="0" fillId="0" borderId="0" xfId="0" applyFill="1" applyBorder="1"/>
    <xf numFmtId="164" fontId="1" fillId="0" borderId="0" xfId="0" applyNumberFormat="1" applyFont="1" applyFill="1" applyBorder="1" applyAlignment="1">
      <alignment horizontal="right"/>
    </xf>
    <xf numFmtId="164" fontId="1" fillId="0" borderId="0" xfId="0" applyNumberFormat="1" applyFont="1" applyFill="1" applyBorder="1"/>
    <xf numFmtId="164" fontId="0" fillId="0" borderId="0" xfId="0" applyFill="1" applyBorder="1" applyAlignment="1">
      <alignment horizontal="center"/>
    </xf>
    <xf numFmtId="164" fontId="1" fillId="0" borderId="2" xfId="0" applyNumberFormat="1" applyFont="1" applyFill="1" applyBorder="1" applyAlignment="1">
      <alignment horizontal="right"/>
    </xf>
    <xf numFmtId="164" fontId="1" fillId="0" borderId="2" xfId="0" applyNumberFormat="1" applyFont="1" applyFill="1" applyBorder="1"/>
    <xf numFmtId="164" fontId="0" fillId="0" borderId="2" xfId="0" applyFill="1" applyBorder="1" applyAlignment="1">
      <alignment horizontal="center"/>
    </xf>
    <xf numFmtId="164" fontId="0" fillId="0" borderId="0" xfId="0" applyFont="1"/>
    <xf numFmtId="164" fontId="0" fillId="0" borderId="0" xfId="0"/>
    <xf numFmtId="164" fontId="0" fillId="0" borderId="0" xfId="0"/>
    <xf numFmtId="164" fontId="2" fillId="0" borderId="0" xfId="0" applyFont="1" applyAlignment="1">
      <alignment horizontal="center" vertical="center"/>
    </xf>
    <xf numFmtId="164" fontId="3" fillId="0" borderId="0" xfId="0" applyFont="1"/>
    <xf numFmtId="164" fontId="5" fillId="0" borderId="0" xfId="0" applyFont="1" applyAlignment="1">
      <alignment horizontal="left" vertical="center"/>
    </xf>
    <xf numFmtId="164" fontId="6" fillId="0" borderId="0" xfId="0" applyFont="1" applyAlignment="1">
      <alignment horizontal="left" vertical="center"/>
    </xf>
    <xf numFmtId="164" fontId="5" fillId="0" borderId="0" xfId="0" applyFont="1" applyAlignment="1">
      <alignment horizontal="center" vertical="center"/>
    </xf>
    <xf numFmtId="164" fontId="5" fillId="0" borderId="2" xfId="0" applyFont="1" applyBorder="1" applyAlignment="1"/>
    <xf numFmtId="164" fontId="6" fillId="0" borderId="2" xfId="0" applyFont="1" applyBorder="1" applyAlignment="1">
      <alignment horizontal="left" vertical="center"/>
    </xf>
    <xf numFmtId="164" fontId="5" fillId="0" borderId="2" xfId="0" applyFont="1" applyBorder="1" applyAlignment="1">
      <alignment horizontal="left" vertical="center"/>
    </xf>
    <xf numFmtId="164" fontId="0" fillId="0" borderId="0" xfId="0" applyFill="1"/>
    <xf numFmtId="0" fontId="2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/>
    </xf>
    <xf numFmtId="164" fontId="5" fillId="0" borderId="0" xfId="0" applyFont="1"/>
    <xf numFmtId="164" fontId="7" fillId="0" borderId="0" xfId="0" applyFont="1" applyAlignment="1">
      <alignment vertical="center"/>
    </xf>
    <xf numFmtId="164" fontId="7" fillId="0" borderId="0" xfId="0" applyFont="1" applyAlignment="1">
      <alignment horizontal="right" vertical="center"/>
    </xf>
    <xf numFmtId="164" fontId="5" fillId="0" borderId="0" xfId="0" applyFont="1" applyBorder="1"/>
    <xf numFmtId="164" fontId="5" fillId="0" borderId="2" xfId="0" applyFont="1" applyBorder="1"/>
    <xf numFmtId="164" fontId="5" fillId="0" borderId="2" xfId="0" applyFont="1" applyFill="1" applyBorder="1" applyAlignment="1">
      <alignment vertical="center"/>
    </xf>
    <xf numFmtId="164" fontId="5" fillId="0" borderId="2" xfId="0" applyFont="1" applyBorder="1" applyAlignment="1">
      <alignment horizontal="center"/>
    </xf>
    <xf numFmtId="164" fontId="5" fillId="0" borderId="3" xfId="0" applyFont="1" applyBorder="1" applyAlignment="1">
      <alignment horizontal="center"/>
    </xf>
    <xf numFmtId="164" fontId="9" fillId="0" borderId="0" xfId="0" applyFont="1"/>
    <xf numFmtId="164" fontId="8" fillId="0" borderId="0" xfId="0" applyFont="1"/>
    <xf numFmtId="164" fontId="5" fillId="0" borderId="0" xfId="0" applyFont="1" applyAlignment="1"/>
    <xf numFmtId="164" fontId="7" fillId="0" borderId="0" xfId="0" applyFont="1" applyAlignment="1"/>
    <xf numFmtId="164" fontId="8" fillId="0" borderId="1" xfId="0" applyFont="1" applyBorder="1"/>
    <xf numFmtId="164" fontId="7" fillId="0" borderId="0" xfId="0" applyFont="1"/>
    <xf numFmtId="0" fontId="5" fillId="0" borderId="3" xfId="0" applyNumberFormat="1" applyFont="1" applyFill="1" applyBorder="1" applyAlignment="1">
      <alignment horizontal="center"/>
    </xf>
    <xf numFmtId="164" fontId="5" fillId="0" borderId="3" xfId="0" applyFont="1" applyFill="1" applyBorder="1"/>
    <xf numFmtId="0" fontId="5" fillId="0" borderId="4" xfId="0" applyNumberFormat="1" applyFont="1" applyBorder="1" applyAlignment="1">
      <alignment horizontal="center" vertical="center"/>
    </xf>
    <xf numFmtId="0" fontId="5" fillId="0" borderId="4" xfId="0" applyNumberFormat="1" applyFont="1" applyBorder="1" applyAlignment="1">
      <alignment horizontal="center"/>
    </xf>
    <xf numFmtId="0" fontId="5" fillId="0" borderId="4" xfId="0" applyNumberFormat="1" applyFont="1" applyBorder="1"/>
    <xf numFmtId="164" fontId="10" fillId="0" borderId="4" xfId="0" applyFont="1" applyFill="1" applyBorder="1" applyAlignment="1">
      <alignment horizontal="center"/>
    </xf>
    <xf numFmtId="164" fontId="5" fillId="0" borderId="4" xfId="0" applyFont="1" applyFill="1" applyBorder="1" applyAlignment="1">
      <alignment horizontal="center"/>
    </xf>
    <xf numFmtId="164" fontId="8" fillId="0" borderId="0" xfId="0" applyFont="1" applyFill="1" applyBorder="1"/>
    <xf numFmtId="164" fontId="7" fillId="0" borderId="0" xfId="0" applyFont="1" applyAlignment="1">
      <alignment horizontal="left"/>
    </xf>
    <xf numFmtId="164" fontId="8" fillId="0" borderId="2" xfId="0" applyFont="1" applyBorder="1"/>
    <xf numFmtId="0" fontId="5" fillId="2" borderId="3" xfId="0" applyNumberFormat="1" applyFont="1" applyFill="1" applyBorder="1" applyAlignment="1">
      <alignment horizontal="center"/>
    </xf>
    <xf numFmtId="164" fontId="5" fillId="2" borderId="3" xfId="0" applyFont="1" applyFill="1" applyBorder="1"/>
    <xf numFmtId="164" fontId="10" fillId="2" borderId="4" xfId="0" applyFont="1" applyFill="1" applyBorder="1" applyAlignment="1">
      <alignment horizontal="center"/>
    </xf>
    <xf numFmtId="164" fontId="6" fillId="2" borderId="4" xfId="0" applyFont="1" applyFill="1" applyBorder="1" applyAlignment="1">
      <alignment horizontal="center"/>
    </xf>
    <xf numFmtId="164" fontId="5" fillId="2" borderId="4" xfId="0" applyFont="1" applyFill="1" applyBorder="1" applyAlignment="1">
      <alignment horizontal="center"/>
    </xf>
    <xf numFmtId="0" fontId="5" fillId="2" borderId="0" xfId="0" applyNumberFormat="1" applyFont="1" applyFill="1" applyAlignment="1">
      <alignment horizontal="center"/>
    </xf>
    <xf numFmtId="164" fontId="5" fillId="2" borderId="0" xfId="0" applyFont="1" applyFill="1"/>
    <xf numFmtId="164" fontId="9" fillId="0" borderId="2" xfId="0" applyFont="1" applyBorder="1"/>
    <xf numFmtId="49" fontId="5" fillId="0" borderId="4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6" fillId="0" borderId="4" xfId="0" applyNumberFormat="1" applyFont="1" applyBorder="1" applyAlignment="1">
      <alignment horizontal="center"/>
    </xf>
    <xf numFmtId="0" fontId="5" fillId="0" borderId="4" xfId="0" applyNumberFormat="1" applyFont="1" applyBorder="1" applyAlignment="1">
      <alignment vertical="center"/>
    </xf>
    <xf numFmtId="164" fontId="5" fillId="0" borderId="3" xfId="0" applyFont="1" applyFill="1" applyBorder="1"/>
    <xf numFmtId="164" fontId="5" fillId="2" borderId="3" xfId="0" applyFont="1" applyFill="1" applyBorder="1"/>
    <xf numFmtId="164" fontId="10" fillId="2" borderId="5" xfId="0" applyFont="1" applyFill="1" applyBorder="1" applyAlignment="1">
      <alignment horizontal="center"/>
    </xf>
    <xf numFmtId="164" fontId="10" fillId="0" borderId="5" xfId="0" applyFont="1" applyFill="1" applyBorder="1" applyAlignment="1">
      <alignment horizontal="center"/>
    </xf>
    <xf numFmtId="164" fontId="6" fillId="2" borderId="5" xfId="0" applyFont="1" applyFill="1" applyBorder="1" applyAlignment="1">
      <alignment horizontal="center"/>
    </xf>
    <xf numFmtId="164" fontId="7" fillId="0" borderId="1" xfId="0" applyFont="1" applyBorder="1" applyAlignment="1">
      <alignment horizontal="left"/>
    </xf>
    <xf numFmtId="0" fontId="5" fillId="0" borderId="5" xfId="0" applyNumberFormat="1" applyFont="1" applyBorder="1" applyAlignment="1">
      <alignment horizontal="center" vertical="center"/>
    </xf>
    <xf numFmtId="164" fontId="10" fillId="2" borderId="8" xfId="0" applyFont="1" applyFill="1" applyBorder="1" applyAlignment="1">
      <alignment horizontal="center"/>
    </xf>
    <xf numFmtId="164" fontId="10" fillId="0" borderId="8" xfId="0" applyFont="1" applyFill="1" applyBorder="1" applyAlignment="1">
      <alignment horizontal="center"/>
    </xf>
    <xf numFmtId="164" fontId="6" fillId="2" borderId="9" xfId="0" applyFont="1" applyFill="1" applyBorder="1" applyAlignment="1">
      <alignment horizontal="center"/>
    </xf>
    <xf numFmtId="164" fontId="10" fillId="0" borderId="10" xfId="0" applyFont="1" applyFill="1" applyBorder="1" applyAlignment="1">
      <alignment horizontal="center"/>
    </xf>
    <xf numFmtId="0" fontId="11" fillId="0" borderId="6" xfId="0" applyNumberFormat="1" applyFont="1" applyBorder="1" applyAlignment="1">
      <alignment horizontal="center" vertical="center"/>
    </xf>
    <xf numFmtId="0" fontId="12" fillId="0" borderId="7" xfId="0" applyNumberFormat="1" applyFont="1" applyBorder="1" applyAlignment="1">
      <alignment horizontal="center" vertical="center"/>
    </xf>
    <xf numFmtId="164" fontId="6" fillId="0" borderId="9" xfId="0" applyFont="1" applyFill="1" applyBorder="1" applyAlignment="1">
      <alignment horizontal="center"/>
    </xf>
    <xf numFmtId="164" fontId="6" fillId="0" borderId="11" xfId="0" applyFont="1" applyFill="1" applyBorder="1" applyAlignment="1">
      <alignment horizontal="center"/>
    </xf>
    <xf numFmtId="164" fontId="13" fillId="0" borderId="0" xfId="0" applyFont="1" applyBorder="1" applyAlignment="1">
      <alignment horizontal="center"/>
    </xf>
    <xf numFmtId="164" fontId="5" fillId="0" borderId="1" xfId="0" applyFont="1" applyBorder="1" applyAlignment="1">
      <alignment horizontal="center"/>
    </xf>
    <xf numFmtId="164" fontId="13" fillId="0" borderId="2" xfId="0" applyFont="1" applyBorder="1" applyAlignment="1">
      <alignment horizontal="center"/>
    </xf>
    <xf numFmtId="164" fontId="9" fillId="0" borderId="0" xfId="0" applyFont="1" applyBorder="1"/>
    <xf numFmtId="164" fontId="5" fillId="0" borderId="1" xfId="0" applyFont="1" applyBorder="1" applyAlignment="1"/>
    <xf numFmtId="164" fontId="5" fillId="0" borderId="1" xfId="0" applyFont="1" applyBorder="1" applyAlignment="1">
      <alignment horizontal="left" vertical="center"/>
    </xf>
    <xf numFmtId="164" fontId="5" fillId="0" borderId="1" xfId="0" applyFont="1" applyBorder="1"/>
    <xf numFmtId="164" fontId="6" fillId="0" borderId="1" xfId="0" applyFont="1" applyBorder="1" applyAlignment="1">
      <alignment horizontal="left" vertical="center"/>
    </xf>
    <xf numFmtId="164" fontId="5" fillId="0" borderId="1" xfId="0" applyFont="1" applyFill="1" applyBorder="1" applyAlignment="1">
      <alignment vertical="center"/>
    </xf>
    <xf numFmtId="164" fontId="0" fillId="0" borderId="1" xfId="0" applyBorder="1" applyAlignment="1"/>
    <xf numFmtId="164" fontId="0" fillId="0" borderId="2" xfId="0" applyBorder="1"/>
    <xf numFmtId="164" fontId="13" fillId="0" borderId="2" xfId="0" applyFont="1" applyBorder="1" applyAlignment="1"/>
    <xf numFmtId="164" fontId="5" fillId="0" borderId="2" xfId="0" applyFont="1" applyBorder="1" applyAlignment="1">
      <alignment horizontal="center"/>
    </xf>
    <xf numFmtId="0" fontId="7" fillId="0" borderId="0" xfId="0" applyNumberFormat="1" applyFont="1" applyAlignment="1">
      <alignment horizontal="left"/>
    </xf>
    <xf numFmtId="165" fontId="3" fillId="0" borderId="12" xfId="0" applyNumberFormat="1" applyFont="1" applyBorder="1" applyAlignment="1"/>
    <xf numFmtId="165" fontId="3" fillId="0" borderId="5" xfId="0" applyNumberFormat="1" applyFont="1" applyBorder="1" applyAlignment="1"/>
    <xf numFmtId="164" fontId="3" fillId="0" borderId="3" xfId="0" applyFont="1" applyBorder="1"/>
    <xf numFmtId="164" fontId="0" fillId="0" borderId="3" xfId="0" applyBorder="1"/>
    <xf numFmtId="164" fontId="0" fillId="0" borderId="5" xfId="0" applyBorder="1"/>
    <xf numFmtId="164" fontId="0" fillId="0" borderId="0" xfId="0" applyBorder="1"/>
    <xf numFmtId="164" fontId="0" fillId="0" borderId="13" xfId="0" applyBorder="1"/>
    <xf numFmtId="165" fontId="14" fillId="0" borderId="12" xfId="0" applyNumberFormat="1" applyFont="1" applyBorder="1" applyAlignment="1"/>
    <xf numFmtId="164" fontId="7" fillId="0" borderId="2" xfId="0" applyFont="1" applyBorder="1" applyAlignment="1">
      <alignment horizontal="left"/>
    </xf>
    <xf numFmtId="164" fontId="7" fillId="0" borderId="0" xfId="0" applyFont="1" applyBorder="1" applyAlignment="1">
      <alignment horizontal="left"/>
    </xf>
    <xf numFmtId="164" fontId="2" fillId="0" borderId="0" xfId="0" applyFont="1" applyFill="1" applyAlignment="1">
      <alignment horizontal="center" vertical="center"/>
    </xf>
    <xf numFmtId="164" fontId="7" fillId="0" borderId="0" xfId="0" applyFont="1" applyAlignment="1">
      <alignment horizontal="left"/>
    </xf>
    <xf numFmtId="164" fontId="5" fillId="0" borderId="2" xfId="0" applyFont="1" applyBorder="1" applyAlignment="1">
      <alignment horizontal="center"/>
    </xf>
    <xf numFmtId="164" fontId="13" fillId="0" borderId="2" xfId="0" applyFont="1" applyBorder="1" applyAlignment="1">
      <alignment horizontal="center"/>
    </xf>
    <xf numFmtId="164" fontId="7" fillId="0" borderId="1" xfId="0" applyFont="1" applyBorder="1" applyAlignment="1">
      <alignment horizontal="left"/>
    </xf>
    <xf numFmtId="164" fontId="7" fillId="0" borderId="0" xfId="0" applyFont="1" applyBorder="1" applyAlignment="1">
      <alignment horizontal="center"/>
    </xf>
    <xf numFmtId="164" fontId="4" fillId="0" borderId="0" xfId="0" applyFont="1" applyAlignment="1">
      <alignment horizontal="center"/>
    </xf>
  </cellXfs>
  <cellStyles count="1">
    <cellStyle name="Normal" xfId="0" builtinId="0"/>
  </cellStyles>
  <dxfs count="2"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mruColors>
      <color rgb="FFECF1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2088</xdr:colOff>
      <xdr:row>0</xdr:row>
      <xdr:rowOff>1</xdr:rowOff>
    </xdr:from>
    <xdr:ext cx="502046" cy="628650"/>
    <xdr:pic>
      <xdr:nvPicPr>
        <xdr:cNvPr id="2" name="Figuras 1"/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/>
          <a:lum/>
        </a:blip>
        <a:srcRect/>
        <a:stretch>
          <a:fillRect/>
        </a:stretch>
      </xdr:blipFill>
      <xdr:spPr>
        <a:xfrm>
          <a:off x="2088" y="1"/>
          <a:ext cx="502046" cy="628650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2088</xdr:colOff>
      <xdr:row>0</xdr:row>
      <xdr:rowOff>1</xdr:rowOff>
    </xdr:from>
    <xdr:ext cx="502046" cy="628650"/>
    <xdr:pic>
      <xdr:nvPicPr>
        <xdr:cNvPr id="2" name="Figuras 1"/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/>
          <a:lum/>
        </a:blip>
        <a:srcRect/>
        <a:stretch>
          <a:fillRect/>
        </a:stretch>
      </xdr:blipFill>
      <xdr:spPr>
        <a:xfrm>
          <a:off x="2088" y="1"/>
          <a:ext cx="502046" cy="628650"/>
        </a:xfrm>
        <a:prstGeom prst="rect">
          <a:avLst/>
        </a:prstGeom>
        <a:noFill/>
        <a:ln>
          <a:noFill/>
        </a:ln>
      </xdr:spPr>
    </xdr:pic>
    <xdr:clientData/>
  </xdr:oneCellAnchor>
  <xdr:twoCellAnchor>
    <xdr:from>
      <xdr:col>2</xdr:col>
      <xdr:colOff>1866900</xdr:colOff>
      <xdr:row>22</xdr:row>
      <xdr:rowOff>9525</xdr:rowOff>
    </xdr:from>
    <xdr:to>
      <xdr:col>16</xdr:col>
      <xdr:colOff>0</xdr:colOff>
      <xdr:row>22</xdr:row>
      <xdr:rowOff>9525</xdr:rowOff>
    </xdr:to>
    <xdr:cxnSp macro="">
      <xdr:nvCxnSpPr>
        <xdr:cNvPr id="3" name="Conector reto 2"/>
        <xdr:cNvCxnSpPr/>
      </xdr:nvCxnSpPr>
      <xdr:spPr>
        <a:xfrm>
          <a:off x="2447925" y="4619625"/>
          <a:ext cx="403860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5</xdr:row>
      <xdr:rowOff>19050</xdr:rowOff>
    </xdr:from>
    <xdr:to>
      <xdr:col>9</xdr:col>
      <xdr:colOff>314325</xdr:colOff>
      <xdr:row>12</xdr:row>
      <xdr:rowOff>28575</xdr:rowOff>
    </xdr:to>
    <xdr:sp macro="[0]!principal" textlink="">
      <xdr:nvSpPr>
        <xdr:cNvPr id="2" name="Retângulo de cantos arredondados 1"/>
        <xdr:cNvSpPr/>
      </xdr:nvSpPr>
      <xdr:spPr>
        <a:xfrm>
          <a:off x="2352675" y="971550"/>
          <a:ext cx="3448050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3200" b="1"/>
            <a:t>Frequência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2088</xdr:colOff>
      <xdr:row>0</xdr:row>
      <xdr:rowOff>1</xdr:rowOff>
    </xdr:from>
    <xdr:ext cx="502046" cy="628650"/>
    <xdr:pic>
      <xdr:nvPicPr>
        <xdr:cNvPr id="2" name="Figuras 1"/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/>
          <a:lum/>
        </a:blip>
        <a:srcRect/>
        <a:stretch>
          <a:fillRect/>
        </a:stretch>
      </xdr:blipFill>
      <xdr:spPr>
        <a:xfrm>
          <a:off x="2088" y="1"/>
          <a:ext cx="502046" cy="628650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EA110"/>
  <sheetViews>
    <sheetView workbookViewId="0">
      <selection activeCell="A12" sqref="A12"/>
    </sheetView>
  </sheetViews>
  <sheetFormatPr defaultRowHeight="15"/>
  <cols>
    <col min="1" max="1" width="7.85546875" style="21" customWidth="1"/>
    <col min="2" max="2" width="0.85546875" style="9" customWidth="1"/>
    <col min="3" max="3" width="53.28515625" customWidth="1"/>
    <col min="4" max="131" width="2.7109375" customWidth="1"/>
  </cols>
  <sheetData>
    <row r="1" spans="1:131" ht="51.75" customHeight="1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</row>
    <row r="2" spans="1:131">
      <c r="A2" s="100" t="s">
        <v>22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</row>
    <row r="3" spans="1:131">
      <c r="A3" s="100" t="s">
        <v>0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</row>
    <row r="4" spans="1:131">
      <c r="A4" s="100" t="s">
        <v>3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</row>
    <row r="5" spans="1:131" ht="12.75" customHeight="1">
      <c r="A5" s="2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2"/>
      <c r="N5" s="12"/>
      <c r="O5" s="12"/>
      <c r="P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</row>
    <row r="6" spans="1:131" s="33" customFormat="1">
      <c r="A6" s="101" t="s">
        <v>1</v>
      </c>
      <c r="B6" s="101"/>
      <c r="C6" s="13" t="s">
        <v>29</v>
      </c>
      <c r="D6" s="15"/>
      <c r="E6" s="25"/>
      <c r="F6" s="26"/>
      <c r="G6" s="26"/>
      <c r="I6" s="14"/>
      <c r="J6" s="27"/>
      <c r="K6" s="15"/>
      <c r="L6" s="34"/>
      <c r="M6" s="26" t="s">
        <v>26</v>
      </c>
      <c r="N6" s="26"/>
      <c r="Q6" s="34"/>
      <c r="R6" s="35"/>
      <c r="S6" s="35"/>
      <c r="T6" s="25"/>
      <c r="U6" s="25"/>
      <c r="V6" s="36"/>
      <c r="W6" s="35" t="s">
        <v>32</v>
      </c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</row>
    <row r="7" spans="1:131" s="33" customFormat="1">
      <c r="A7" s="98" t="s">
        <v>2</v>
      </c>
      <c r="B7" s="98"/>
      <c r="C7" s="16" t="s">
        <v>51</v>
      </c>
      <c r="D7" s="18" t="s">
        <v>23</v>
      </c>
      <c r="E7" s="48"/>
      <c r="F7" s="29"/>
      <c r="G7" s="18"/>
      <c r="H7" s="17"/>
      <c r="I7" s="16" t="s">
        <v>24</v>
      </c>
      <c r="J7" s="29"/>
      <c r="K7" s="29"/>
      <c r="L7" s="29"/>
      <c r="M7" s="29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31" t="s">
        <v>25</v>
      </c>
      <c r="AF7" s="31"/>
      <c r="AG7" s="31"/>
      <c r="AH7" s="86"/>
    </row>
    <row r="8" spans="1:131" s="33" customFormat="1" ht="14.25" customHeight="1">
      <c r="A8" s="66"/>
      <c r="B8" s="66"/>
      <c r="C8" s="80"/>
      <c r="D8" s="81"/>
      <c r="E8" s="37"/>
      <c r="F8" s="80"/>
      <c r="G8" s="85"/>
      <c r="H8" s="83"/>
      <c r="I8" s="80"/>
      <c r="J8" s="82"/>
      <c r="K8" s="82"/>
      <c r="L8" s="82"/>
      <c r="M8" s="82"/>
      <c r="N8" s="84"/>
      <c r="O8" s="84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77"/>
      <c r="AF8" s="77"/>
      <c r="AG8" s="77"/>
      <c r="AH8" s="37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</row>
    <row r="9" spans="1:131" ht="15.75" thickBot="1">
      <c r="A9" s="99" t="s">
        <v>5</v>
      </c>
      <c r="B9" s="99"/>
      <c r="C9" s="38" t="s">
        <v>6</v>
      </c>
      <c r="D9" s="76"/>
      <c r="E9" s="76"/>
      <c r="F9" s="102">
        <v>4</v>
      </c>
      <c r="G9" s="102"/>
      <c r="H9" s="103">
        <v>3</v>
      </c>
      <c r="I9" s="103"/>
      <c r="J9" s="103">
        <v>4</v>
      </c>
      <c r="K9" s="103"/>
      <c r="L9" s="103">
        <v>4</v>
      </c>
      <c r="M9" s="103"/>
      <c r="N9" s="103">
        <v>4</v>
      </c>
      <c r="O9" s="103"/>
      <c r="P9" s="103">
        <v>4</v>
      </c>
      <c r="Q9" s="103"/>
      <c r="R9" s="103">
        <v>5</v>
      </c>
      <c r="S9" s="103"/>
      <c r="T9" s="103">
        <v>3</v>
      </c>
      <c r="U9" s="103"/>
      <c r="V9" s="103">
        <v>4</v>
      </c>
      <c r="W9" s="103"/>
      <c r="X9" s="103">
        <v>4</v>
      </c>
      <c r="Y9" s="103"/>
      <c r="Z9" s="103">
        <v>4</v>
      </c>
      <c r="AA9" s="103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/>
      <c r="BU9" s="78"/>
      <c r="BV9" s="78"/>
      <c r="BW9" s="78"/>
      <c r="BX9" s="78"/>
      <c r="BY9" s="78"/>
      <c r="BZ9" s="78"/>
      <c r="CA9" s="78"/>
      <c r="CB9" s="78"/>
      <c r="CC9" s="78"/>
      <c r="CD9" s="78"/>
      <c r="CE9" s="78"/>
      <c r="CF9" s="78"/>
      <c r="CG9" s="78"/>
      <c r="CH9" s="78"/>
      <c r="CI9" s="78"/>
      <c r="CJ9" s="78"/>
      <c r="CK9" s="78"/>
      <c r="CL9" s="78"/>
      <c r="CM9" s="78"/>
      <c r="CN9" s="78"/>
      <c r="CO9" s="78"/>
      <c r="CP9" s="78"/>
      <c r="CQ9" s="78"/>
      <c r="CR9" s="78"/>
      <c r="CS9" s="78"/>
      <c r="CT9" s="78"/>
      <c r="CU9" s="78"/>
      <c r="CV9" s="78"/>
      <c r="CW9" s="78"/>
      <c r="CX9" s="78"/>
      <c r="CY9" s="78"/>
      <c r="CZ9" s="78"/>
      <c r="DA9" s="78"/>
      <c r="DB9" s="78"/>
      <c r="DC9" s="78"/>
      <c r="DD9" s="78"/>
      <c r="DE9" s="78"/>
      <c r="DF9" s="78"/>
      <c r="DG9" s="78"/>
      <c r="DH9" s="78"/>
      <c r="DI9" s="78"/>
      <c r="DJ9" s="78"/>
      <c r="DK9" s="78"/>
      <c r="DL9" s="78"/>
      <c r="DM9" s="78"/>
      <c r="DN9" s="78"/>
      <c r="DO9" s="78"/>
      <c r="DP9" s="78"/>
      <c r="DQ9" s="78"/>
      <c r="DR9" s="78"/>
      <c r="DS9" s="78"/>
      <c r="DT9" s="78"/>
      <c r="DU9" s="78"/>
      <c r="DV9" s="78"/>
      <c r="DW9" s="78"/>
      <c r="DX9" s="78"/>
      <c r="DY9" s="78"/>
      <c r="DZ9" s="78"/>
      <c r="EA9" s="78"/>
    </row>
    <row r="10" spans="1:131">
      <c r="D10" s="72" t="s">
        <v>18</v>
      </c>
      <c r="E10" s="73" t="s">
        <v>8</v>
      </c>
      <c r="F10" s="67">
        <v>15</v>
      </c>
      <c r="G10" s="41">
        <v>15</v>
      </c>
      <c r="H10" s="41">
        <v>3</v>
      </c>
      <c r="I10" s="41">
        <v>3</v>
      </c>
      <c r="J10" s="41">
        <v>3</v>
      </c>
      <c r="K10" s="41">
        <v>3</v>
      </c>
      <c r="L10" s="60">
        <v>3</v>
      </c>
      <c r="M10" s="60">
        <v>3</v>
      </c>
      <c r="N10" s="60">
        <v>3</v>
      </c>
      <c r="O10" s="60">
        <v>3</v>
      </c>
      <c r="P10" s="60">
        <v>3</v>
      </c>
      <c r="Q10" s="60">
        <v>3</v>
      </c>
      <c r="R10" s="60">
        <v>3</v>
      </c>
      <c r="S10" s="60">
        <v>3</v>
      </c>
      <c r="T10" s="41">
        <v>3</v>
      </c>
      <c r="U10" s="41">
        <v>3</v>
      </c>
      <c r="V10" s="41">
        <v>2</v>
      </c>
      <c r="W10" s="41">
        <v>2</v>
      </c>
      <c r="X10" s="41">
        <v>3</v>
      </c>
      <c r="Y10" s="41">
        <v>3</v>
      </c>
      <c r="Z10" s="41">
        <v>3</v>
      </c>
      <c r="AA10" s="41">
        <v>3</v>
      </c>
      <c r="AB10" s="60"/>
      <c r="AC10" s="60"/>
      <c r="AD10" s="60"/>
      <c r="AE10" s="60"/>
      <c r="AF10" s="60"/>
      <c r="AG10" s="60"/>
      <c r="AH10" s="60"/>
      <c r="AI10" s="60"/>
      <c r="AJ10" s="41"/>
      <c r="AK10" s="41"/>
      <c r="AL10" s="41"/>
      <c r="AM10" s="41"/>
      <c r="AN10" s="41"/>
      <c r="AO10" s="41"/>
      <c r="AP10" s="41"/>
      <c r="AQ10" s="41"/>
      <c r="AR10" s="60"/>
      <c r="AS10" s="60"/>
      <c r="AT10" s="60"/>
      <c r="AU10" s="60"/>
      <c r="AV10" s="60"/>
      <c r="AW10" s="60"/>
      <c r="AX10" s="60"/>
      <c r="AY10" s="60"/>
      <c r="AZ10" s="41"/>
      <c r="BA10" s="41"/>
      <c r="BB10" s="41"/>
      <c r="BC10" s="41"/>
      <c r="BD10" s="41"/>
      <c r="BE10" s="41"/>
      <c r="BF10" s="41"/>
      <c r="BG10" s="41"/>
      <c r="BH10" s="60"/>
      <c r="BI10" s="60"/>
      <c r="BJ10" s="60"/>
      <c r="BK10" s="60"/>
      <c r="BL10" s="60"/>
      <c r="BM10" s="60"/>
      <c r="BN10" s="60"/>
      <c r="BO10" s="60"/>
      <c r="BP10" s="41"/>
      <c r="BQ10" s="41"/>
      <c r="BR10" s="41"/>
      <c r="BS10" s="41"/>
      <c r="BT10" s="41"/>
      <c r="BU10" s="41"/>
      <c r="BV10" s="41"/>
      <c r="BW10" s="41"/>
      <c r="BX10" s="60"/>
      <c r="BY10" s="60"/>
      <c r="BZ10" s="60"/>
      <c r="CA10" s="60"/>
      <c r="CB10" s="60"/>
      <c r="CC10" s="60"/>
      <c r="CD10" s="60"/>
      <c r="CE10" s="60"/>
      <c r="CF10" s="41"/>
      <c r="CG10" s="41"/>
      <c r="CH10" s="41"/>
      <c r="CI10" s="41"/>
      <c r="CJ10" s="41"/>
      <c r="CK10" s="41"/>
      <c r="CL10" s="41"/>
      <c r="CM10" s="41"/>
      <c r="CN10" s="60"/>
      <c r="CO10" s="60"/>
      <c r="CP10" s="60"/>
      <c r="CQ10" s="60"/>
      <c r="CR10" s="60"/>
      <c r="CS10" s="60"/>
      <c r="CT10" s="60"/>
      <c r="CU10" s="60"/>
      <c r="CV10" s="41"/>
      <c r="CW10" s="41"/>
      <c r="CX10" s="41"/>
      <c r="CY10" s="41"/>
      <c r="CZ10" s="41"/>
      <c r="DA10" s="41"/>
      <c r="DB10" s="41"/>
      <c r="DC10" s="41"/>
      <c r="DD10" s="60"/>
      <c r="DE10" s="60"/>
      <c r="DF10" s="60"/>
      <c r="DG10" s="60"/>
      <c r="DH10" s="60"/>
      <c r="DI10" s="60"/>
      <c r="DJ10" s="60"/>
      <c r="DK10" s="60"/>
      <c r="DL10" s="41"/>
      <c r="DM10" s="41"/>
      <c r="DN10" s="41"/>
      <c r="DO10" s="41"/>
      <c r="DP10" s="41"/>
      <c r="DQ10" s="41"/>
      <c r="DR10" s="41"/>
      <c r="DS10" s="41"/>
      <c r="DT10" s="60"/>
      <c r="DU10" s="60"/>
      <c r="DV10" s="60"/>
      <c r="DW10" s="60"/>
      <c r="DX10" s="60"/>
      <c r="DY10" s="60"/>
      <c r="DZ10" s="60"/>
      <c r="EA10" s="60"/>
    </row>
    <row r="11" spans="1:131" s="19" customFormat="1">
      <c r="A11" s="49" t="str">
        <f>"090682"</f>
        <v>090682</v>
      </c>
      <c r="B11" s="50"/>
      <c r="C11" s="50" t="s">
        <v>33</v>
      </c>
      <c r="D11" s="68">
        <f>COUNTIF(F11:EA11,"=P")</f>
        <v>8</v>
      </c>
      <c r="E11" s="70">
        <f>COUNTIF(F11:EA11,"=F")</f>
        <v>2</v>
      </c>
      <c r="F11" s="63" t="s">
        <v>8</v>
      </c>
      <c r="G11" s="51" t="s">
        <v>8</v>
      </c>
      <c r="H11" s="51" t="s">
        <v>18</v>
      </c>
      <c r="I11" s="51" t="s">
        <v>18</v>
      </c>
      <c r="J11" s="51" t="s">
        <v>18</v>
      </c>
      <c r="K11" s="51" t="s">
        <v>18</v>
      </c>
      <c r="L11" s="51" t="s">
        <v>18</v>
      </c>
      <c r="M11" s="51" t="s">
        <v>18</v>
      </c>
      <c r="N11" s="51" t="s">
        <v>18</v>
      </c>
      <c r="O11" s="51" t="s">
        <v>18</v>
      </c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1"/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  <c r="DE11" s="51"/>
      <c r="DF11" s="51"/>
      <c r="DG11" s="51"/>
      <c r="DH11" s="51"/>
      <c r="DI11" s="51"/>
      <c r="DJ11" s="51"/>
      <c r="DK11" s="51"/>
      <c r="DL11" s="51"/>
      <c r="DM11" s="51"/>
      <c r="DN11" s="51"/>
      <c r="DO11" s="51"/>
      <c r="DP11" s="51"/>
      <c r="DQ11" s="51"/>
      <c r="DR11" s="51"/>
      <c r="DS11" s="51"/>
      <c r="DT11" s="51"/>
      <c r="DU11" s="51"/>
      <c r="DV11" s="51"/>
      <c r="DW11" s="51"/>
      <c r="DX11" s="51"/>
      <c r="DY11" s="51"/>
      <c r="DZ11" s="51"/>
      <c r="EA11" s="51"/>
    </row>
    <row r="12" spans="1:131" s="19" customFormat="1">
      <c r="A12" s="39">
        <v>110931</v>
      </c>
      <c r="B12" s="40"/>
      <c r="C12" s="40" t="s">
        <v>34</v>
      </c>
      <c r="D12" s="69">
        <f t="shared" ref="D12:D75" si="0">COUNTIF(F12:EA12,"=P")</f>
        <v>8</v>
      </c>
      <c r="E12" s="74">
        <f t="shared" ref="E12:E75" si="1">COUNTIF(F12:EA12,"=F")</f>
        <v>0</v>
      </c>
      <c r="F12" s="64" t="s">
        <v>18</v>
      </c>
      <c r="G12" s="44" t="s">
        <v>18</v>
      </c>
      <c r="H12" s="44" t="s">
        <v>18</v>
      </c>
      <c r="I12" s="44" t="s">
        <v>18</v>
      </c>
      <c r="J12" s="44" t="s">
        <v>18</v>
      </c>
      <c r="K12" s="44" t="s">
        <v>18</v>
      </c>
      <c r="L12" s="44" t="s">
        <v>18</v>
      </c>
      <c r="M12" s="44" t="s">
        <v>18</v>
      </c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  <c r="CX12" s="44"/>
      <c r="CY12" s="44"/>
      <c r="CZ12" s="44"/>
      <c r="DA12" s="44"/>
      <c r="DB12" s="44"/>
      <c r="DC12" s="44"/>
      <c r="DD12" s="44"/>
      <c r="DE12" s="44"/>
      <c r="DF12" s="44"/>
      <c r="DG12" s="44"/>
      <c r="DH12" s="44"/>
      <c r="DI12" s="44"/>
      <c r="DJ12" s="44"/>
      <c r="DK12" s="44"/>
      <c r="DL12" s="44"/>
      <c r="DM12" s="44"/>
      <c r="DN12" s="44"/>
      <c r="DO12" s="44"/>
      <c r="DP12" s="44"/>
      <c r="DQ12" s="44"/>
      <c r="DR12" s="44"/>
      <c r="DS12" s="44"/>
      <c r="DT12" s="44"/>
      <c r="DU12" s="44"/>
      <c r="DV12" s="44"/>
      <c r="DW12" s="44"/>
      <c r="DX12" s="44"/>
      <c r="DY12" s="44"/>
      <c r="DZ12" s="44"/>
      <c r="EA12" s="44"/>
    </row>
    <row r="13" spans="1:131" s="19" customFormat="1">
      <c r="A13" s="54">
        <v>80166</v>
      </c>
      <c r="B13" s="55"/>
      <c r="C13" s="55" t="s">
        <v>35</v>
      </c>
      <c r="D13" s="68">
        <f t="shared" si="0"/>
        <v>8</v>
      </c>
      <c r="E13" s="70">
        <f t="shared" si="1"/>
        <v>0</v>
      </c>
      <c r="F13" s="63" t="s">
        <v>18</v>
      </c>
      <c r="G13" s="51" t="s">
        <v>18</v>
      </c>
      <c r="H13" s="51" t="s">
        <v>18</v>
      </c>
      <c r="I13" s="51" t="s">
        <v>18</v>
      </c>
      <c r="J13" s="51" t="s">
        <v>18</v>
      </c>
      <c r="K13" s="51" t="s">
        <v>18</v>
      </c>
      <c r="L13" s="51" t="s">
        <v>18</v>
      </c>
      <c r="M13" s="51" t="s">
        <v>18</v>
      </c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</row>
    <row r="14" spans="1:131" s="19" customFormat="1">
      <c r="A14" s="39">
        <v>90688</v>
      </c>
      <c r="B14" s="40"/>
      <c r="C14" s="61" t="s">
        <v>36</v>
      </c>
      <c r="D14" s="69">
        <f t="shared" si="0"/>
        <v>6</v>
      </c>
      <c r="E14" s="74">
        <f t="shared" si="1"/>
        <v>2</v>
      </c>
      <c r="F14" s="64" t="s">
        <v>8</v>
      </c>
      <c r="G14" s="44" t="s">
        <v>8</v>
      </c>
      <c r="H14" s="44" t="s">
        <v>18</v>
      </c>
      <c r="I14" s="44" t="s">
        <v>18</v>
      </c>
      <c r="J14" s="44" t="s">
        <v>18</v>
      </c>
      <c r="K14" s="44" t="s">
        <v>18</v>
      </c>
      <c r="L14" s="44" t="s">
        <v>18</v>
      </c>
      <c r="M14" s="44" t="s">
        <v>18</v>
      </c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  <c r="CY14" s="44"/>
      <c r="CZ14" s="44"/>
      <c r="DA14" s="44"/>
      <c r="DB14" s="44"/>
      <c r="DC14" s="44"/>
      <c r="DD14" s="44"/>
      <c r="DE14" s="44"/>
      <c r="DF14" s="44"/>
      <c r="DG14" s="44"/>
      <c r="DH14" s="44"/>
      <c r="DI14" s="44"/>
      <c r="DJ14" s="44"/>
      <c r="DK14" s="44"/>
      <c r="DL14" s="44"/>
      <c r="DM14" s="44"/>
      <c r="DN14" s="44"/>
      <c r="DO14" s="44"/>
      <c r="DP14" s="44"/>
      <c r="DQ14" s="44"/>
      <c r="DR14" s="44"/>
      <c r="DS14" s="44"/>
      <c r="DT14" s="44"/>
      <c r="DU14" s="44"/>
      <c r="DV14" s="44"/>
      <c r="DW14" s="44"/>
      <c r="DX14" s="44"/>
      <c r="DY14" s="44"/>
      <c r="DZ14" s="44"/>
      <c r="EA14" s="44"/>
    </row>
    <row r="15" spans="1:131" s="19" customFormat="1">
      <c r="A15" s="54">
        <v>100860</v>
      </c>
      <c r="B15" s="55"/>
      <c r="C15" s="55" t="s">
        <v>37</v>
      </c>
      <c r="D15" s="68">
        <f t="shared" si="0"/>
        <v>4</v>
      </c>
      <c r="E15" s="70">
        <f t="shared" si="1"/>
        <v>2</v>
      </c>
      <c r="F15" s="63" t="s">
        <v>8</v>
      </c>
      <c r="G15" s="51" t="s">
        <v>8</v>
      </c>
      <c r="H15" s="51" t="s">
        <v>18</v>
      </c>
      <c r="I15" s="51" t="s">
        <v>18</v>
      </c>
      <c r="J15" s="51" t="s">
        <v>18</v>
      </c>
      <c r="K15" s="51" t="s">
        <v>18</v>
      </c>
      <c r="L15" s="52"/>
      <c r="M15" s="52"/>
      <c r="N15" s="52"/>
      <c r="O15" s="52"/>
      <c r="P15" s="52"/>
      <c r="Q15" s="52"/>
      <c r="R15" s="52"/>
      <c r="S15" s="52"/>
      <c r="T15" s="51"/>
      <c r="U15" s="51"/>
      <c r="V15" s="51"/>
      <c r="W15" s="51"/>
      <c r="X15" s="51"/>
      <c r="Y15" s="51"/>
      <c r="Z15" s="51"/>
      <c r="AA15" s="51"/>
      <c r="AB15" s="52"/>
      <c r="AC15" s="52"/>
      <c r="AD15" s="52"/>
      <c r="AE15" s="52"/>
      <c r="AF15" s="52"/>
      <c r="AG15" s="52"/>
      <c r="AH15" s="52"/>
      <c r="AI15" s="52"/>
      <c r="AJ15" s="51"/>
      <c r="AK15" s="51"/>
      <c r="AL15" s="51"/>
      <c r="AM15" s="51"/>
      <c r="AN15" s="51"/>
      <c r="AO15" s="51"/>
      <c r="AP15" s="51"/>
      <c r="AQ15" s="51"/>
      <c r="AR15" s="52"/>
      <c r="AS15" s="52"/>
      <c r="AT15" s="52"/>
      <c r="AU15" s="52"/>
      <c r="AV15" s="52"/>
      <c r="AW15" s="52"/>
      <c r="AX15" s="52"/>
      <c r="AY15" s="52"/>
      <c r="AZ15" s="51"/>
      <c r="BA15" s="51"/>
      <c r="BB15" s="51"/>
      <c r="BC15" s="51"/>
      <c r="BD15" s="51"/>
      <c r="BE15" s="51"/>
      <c r="BF15" s="51"/>
      <c r="BG15" s="51"/>
      <c r="BH15" s="52"/>
      <c r="BI15" s="52"/>
      <c r="BJ15" s="52"/>
      <c r="BK15" s="52"/>
      <c r="BL15" s="52"/>
      <c r="BM15" s="52"/>
      <c r="BN15" s="52"/>
      <c r="BO15" s="52"/>
      <c r="BP15" s="51"/>
      <c r="BQ15" s="51"/>
      <c r="BR15" s="51"/>
      <c r="BS15" s="51"/>
      <c r="BT15" s="51"/>
      <c r="BU15" s="51"/>
      <c r="BV15" s="51"/>
      <c r="BW15" s="51"/>
      <c r="BX15" s="52"/>
      <c r="BY15" s="52"/>
      <c r="BZ15" s="52"/>
      <c r="CA15" s="52"/>
      <c r="CB15" s="52"/>
      <c r="CC15" s="52"/>
      <c r="CD15" s="52"/>
      <c r="CE15" s="52"/>
      <c r="CF15" s="51"/>
      <c r="CG15" s="51"/>
      <c r="CH15" s="51"/>
      <c r="CI15" s="51"/>
      <c r="CJ15" s="51"/>
      <c r="CK15" s="51"/>
      <c r="CL15" s="51"/>
      <c r="CM15" s="51"/>
      <c r="CN15" s="52"/>
      <c r="CO15" s="52"/>
      <c r="CP15" s="52"/>
      <c r="CQ15" s="52"/>
      <c r="CR15" s="52"/>
      <c r="CS15" s="52"/>
      <c r="CT15" s="52"/>
      <c r="CU15" s="52"/>
      <c r="CV15" s="51"/>
      <c r="CW15" s="51"/>
      <c r="CX15" s="51"/>
      <c r="CY15" s="51"/>
      <c r="CZ15" s="51"/>
      <c r="DA15" s="51"/>
      <c r="DB15" s="51"/>
      <c r="DC15" s="51"/>
      <c r="DD15" s="52"/>
      <c r="DE15" s="52"/>
      <c r="DF15" s="52"/>
      <c r="DG15" s="52"/>
      <c r="DH15" s="52"/>
      <c r="DI15" s="52"/>
      <c r="DJ15" s="52"/>
      <c r="DK15" s="52"/>
      <c r="DL15" s="51"/>
      <c r="DM15" s="51"/>
      <c r="DN15" s="51"/>
      <c r="DO15" s="51"/>
      <c r="DP15" s="51"/>
      <c r="DQ15" s="51"/>
      <c r="DR15" s="51"/>
      <c r="DS15" s="51"/>
      <c r="DT15" s="52"/>
      <c r="DU15" s="52"/>
      <c r="DV15" s="52"/>
      <c r="DW15" s="52"/>
      <c r="DX15" s="52"/>
      <c r="DY15" s="52"/>
      <c r="DZ15" s="52"/>
      <c r="EA15" s="52"/>
    </row>
    <row r="16" spans="1:131" s="19" customFormat="1">
      <c r="A16" s="39">
        <v>106003</v>
      </c>
      <c r="B16" s="40"/>
      <c r="C16" s="40" t="s">
        <v>38</v>
      </c>
      <c r="D16" s="69">
        <f t="shared" si="0"/>
        <v>6</v>
      </c>
      <c r="E16" s="74">
        <f t="shared" si="1"/>
        <v>0</v>
      </c>
      <c r="F16" s="64" t="s">
        <v>18</v>
      </c>
      <c r="G16" s="44" t="s">
        <v>18</v>
      </c>
      <c r="H16" s="44" t="s">
        <v>18</v>
      </c>
      <c r="I16" s="44" t="s">
        <v>18</v>
      </c>
      <c r="J16" s="44" t="s">
        <v>18</v>
      </c>
      <c r="K16" s="44" t="s">
        <v>18</v>
      </c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  <c r="CX16" s="44"/>
      <c r="CY16" s="44"/>
      <c r="CZ16" s="44"/>
      <c r="DA16" s="44"/>
      <c r="DB16" s="44"/>
      <c r="DC16" s="44"/>
      <c r="DD16" s="44"/>
      <c r="DE16" s="44"/>
      <c r="DF16" s="44"/>
      <c r="DG16" s="44"/>
      <c r="DH16" s="44"/>
      <c r="DI16" s="44"/>
      <c r="DJ16" s="44"/>
      <c r="DK16" s="44"/>
      <c r="DL16" s="44"/>
      <c r="DM16" s="44"/>
      <c r="DN16" s="44"/>
      <c r="DO16" s="44"/>
      <c r="DP16" s="44"/>
      <c r="DQ16" s="44"/>
      <c r="DR16" s="44"/>
      <c r="DS16" s="44"/>
      <c r="DT16" s="44"/>
      <c r="DU16" s="44"/>
      <c r="DV16" s="44"/>
      <c r="DW16" s="44"/>
      <c r="DX16" s="44"/>
      <c r="DY16" s="44"/>
      <c r="DZ16" s="44"/>
      <c r="EA16" s="44"/>
    </row>
    <row r="17" spans="1:131" s="19" customFormat="1">
      <c r="A17" s="54">
        <v>105313</v>
      </c>
      <c r="B17" s="55"/>
      <c r="C17" s="55" t="s">
        <v>39</v>
      </c>
      <c r="D17" s="68">
        <f t="shared" si="0"/>
        <v>6</v>
      </c>
      <c r="E17" s="70">
        <f t="shared" si="1"/>
        <v>0</v>
      </c>
      <c r="F17" s="63" t="s">
        <v>18</v>
      </c>
      <c r="G17" s="51" t="s">
        <v>18</v>
      </c>
      <c r="H17" s="51" t="s">
        <v>18</v>
      </c>
      <c r="I17" s="51" t="s">
        <v>18</v>
      </c>
      <c r="J17" s="51" t="s">
        <v>18</v>
      </c>
      <c r="K17" s="51" t="s">
        <v>18</v>
      </c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</row>
    <row r="18" spans="1:131" s="19" customFormat="1">
      <c r="A18" s="39">
        <v>110935</v>
      </c>
      <c r="B18" s="40"/>
      <c r="C18" s="40" t="s">
        <v>40</v>
      </c>
      <c r="D18" s="69">
        <f t="shared" si="0"/>
        <v>6</v>
      </c>
      <c r="E18" s="74">
        <f t="shared" si="1"/>
        <v>0</v>
      </c>
      <c r="F18" s="64" t="s">
        <v>18</v>
      </c>
      <c r="G18" s="44" t="s">
        <v>18</v>
      </c>
      <c r="H18" s="44" t="s">
        <v>18</v>
      </c>
      <c r="I18" s="44" t="s">
        <v>18</v>
      </c>
      <c r="J18" s="44" t="s">
        <v>18</v>
      </c>
      <c r="K18" s="44" t="s">
        <v>18</v>
      </c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  <c r="CX18" s="44"/>
      <c r="CY18" s="44"/>
      <c r="CZ18" s="44"/>
      <c r="DA18" s="44"/>
      <c r="DB18" s="44"/>
      <c r="DC18" s="44"/>
      <c r="DD18" s="44"/>
      <c r="DE18" s="44"/>
      <c r="DF18" s="44"/>
      <c r="DG18" s="44"/>
      <c r="DH18" s="44"/>
      <c r="DI18" s="44"/>
      <c r="DJ18" s="44"/>
      <c r="DK18" s="44"/>
      <c r="DL18" s="44"/>
      <c r="DM18" s="44"/>
      <c r="DN18" s="44"/>
      <c r="DO18" s="44"/>
      <c r="DP18" s="44"/>
      <c r="DQ18" s="44"/>
      <c r="DR18" s="44"/>
      <c r="DS18" s="44"/>
      <c r="DT18" s="44"/>
      <c r="DU18" s="44"/>
      <c r="DV18" s="44"/>
      <c r="DW18" s="44"/>
      <c r="DX18" s="44"/>
      <c r="DY18" s="44"/>
      <c r="DZ18" s="44"/>
      <c r="EA18" s="44"/>
    </row>
    <row r="19" spans="1:131" s="19" customFormat="1">
      <c r="A19" s="54">
        <v>110936</v>
      </c>
      <c r="B19" s="55"/>
      <c r="C19" s="55" t="s">
        <v>41</v>
      </c>
      <c r="D19" s="68">
        <f t="shared" si="0"/>
        <v>6</v>
      </c>
      <c r="E19" s="70">
        <f t="shared" si="1"/>
        <v>0</v>
      </c>
      <c r="F19" s="63" t="s">
        <v>18</v>
      </c>
      <c r="G19" s="51" t="s">
        <v>18</v>
      </c>
      <c r="H19" s="51" t="s">
        <v>18</v>
      </c>
      <c r="I19" s="51" t="s">
        <v>18</v>
      </c>
      <c r="J19" s="51" t="s">
        <v>18</v>
      </c>
      <c r="K19" s="51" t="s">
        <v>18</v>
      </c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  <c r="DR19" s="51"/>
      <c r="DS19" s="51"/>
      <c r="DT19" s="51"/>
      <c r="DU19" s="51"/>
      <c r="DV19" s="51"/>
      <c r="DW19" s="51"/>
      <c r="DX19" s="51"/>
      <c r="DY19" s="51"/>
      <c r="DZ19" s="51"/>
      <c r="EA19" s="51"/>
    </row>
    <row r="20" spans="1:131" s="19" customFormat="1">
      <c r="A20" s="39">
        <v>100863</v>
      </c>
      <c r="B20" s="40"/>
      <c r="C20" s="40" t="s">
        <v>42</v>
      </c>
      <c r="D20" s="69">
        <f t="shared" si="0"/>
        <v>6</v>
      </c>
      <c r="E20" s="74">
        <f t="shared" si="1"/>
        <v>0</v>
      </c>
      <c r="F20" s="64" t="s">
        <v>18</v>
      </c>
      <c r="G20" s="44" t="s">
        <v>18</v>
      </c>
      <c r="H20" s="44" t="s">
        <v>18</v>
      </c>
      <c r="I20" s="44" t="s">
        <v>18</v>
      </c>
      <c r="J20" s="44" t="s">
        <v>18</v>
      </c>
      <c r="K20" s="44" t="s">
        <v>18</v>
      </c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4"/>
      <c r="DJ20" s="44"/>
      <c r="DK20" s="44"/>
      <c r="DL20" s="44"/>
      <c r="DM20" s="44"/>
      <c r="DN20" s="44"/>
      <c r="DO20" s="44"/>
      <c r="DP20" s="44"/>
      <c r="DQ20" s="44"/>
      <c r="DR20" s="44"/>
      <c r="DS20" s="44"/>
      <c r="DT20" s="44"/>
      <c r="DU20" s="44"/>
      <c r="DV20" s="44"/>
      <c r="DW20" s="44"/>
      <c r="DX20" s="44"/>
      <c r="DY20" s="44"/>
      <c r="DZ20" s="44"/>
      <c r="EA20" s="44"/>
    </row>
    <row r="21" spans="1:131" s="19" customFormat="1">
      <c r="A21" s="54">
        <v>90692</v>
      </c>
      <c r="B21" s="55"/>
      <c r="C21" s="55" t="s">
        <v>43</v>
      </c>
      <c r="D21" s="68">
        <f t="shared" si="0"/>
        <v>6</v>
      </c>
      <c r="E21" s="70">
        <f t="shared" si="1"/>
        <v>0</v>
      </c>
      <c r="F21" s="63" t="s">
        <v>18</v>
      </c>
      <c r="G21" s="51" t="s">
        <v>18</v>
      </c>
      <c r="H21" s="51" t="s">
        <v>18</v>
      </c>
      <c r="I21" s="51" t="s">
        <v>18</v>
      </c>
      <c r="J21" s="51" t="s">
        <v>18</v>
      </c>
      <c r="K21" s="51" t="s">
        <v>18</v>
      </c>
      <c r="L21" s="51"/>
      <c r="M21" s="51"/>
      <c r="N21" s="51"/>
      <c r="O21" s="51"/>
      <c r="P21" s="52"/>
      <c r="Q21" s="52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2"/>
      <c r="AG21" s="52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2"/>
      <c r="AW21" s="52"/>
      <c r="AX21" s="51"/>
      <c r="AY21" s="51"/>
      <c r="AZ21" s="51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2"/>
      <c r="BM21" s="52"/>
      <c r="BN21" s="51"/>
      <c r="BO21" s="51"/>
      <c r="BP21" s="51"/>
      <c r="BQ21" s="51"/>
      <c r="BR21" s="51"/>
      <c r="BS21" s="51"/>
      <c r="BT21" s="51"/>
      <c r="BU21" s="51"/>
      <c r="BV21" s="51"/>
      <c r="BW21" s="51"/>
      <c r="BX21" s="51"/>
      <c r="BY21" s="51"/>
      <c r="BZ21" s="51"/>
      <c r="CA21" s="51"/>
      <c r="CB21" s="52"/>
      <c r="CC21" s="52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2"/>
      <c r="CS21" s="52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1"/>
      <c r="DF21" s="51"/>
      <c r="DG21" s="51"/>
      <c r="DH21" s="52"/>
      <c r="DI21" s="52"/>
      <c r="DJ21" s="51"/>
      <c r="DK21" s="51"/>
      <c r="DL21" s="51"/>
      <c r="DM21" s="51"/>
      <c r="DN21" s="51"/>
      <c r="DO21" s="51"/>
      <c r="DP21" s="51"/>
      <c r="DQ21" s="51"/>
      <c r="DR21" s="51"/>
      <c r="DS21" s="51"/>
      <c r="DT21" s="51"/>
      <c r="DU21" s="51"/>
      <c r="DV21" s="51"/>
      <c r="DW21" s="51"/>
      <c r="DX21" s="52"/>
      <c r="DY21" s="52"/>
      <c r="DZ21" s="51"/>
      <c r="EA21" s="51"/>
    </row>
    <row r="22" spans="1:131" s="19" customFormat="1">
      <c r="A22" s="39">
        <v>90696</v>
      </c>
      <c r="B22" s="40"/>
      <c r="C22" s="40" t="s">
        <v>44</v>
      </c>
      <c r="D22" s="69">
        <f t="shared" si="0"/>
        <v>4</v>
      </c>
      <c r="E22" s="74">
        <f t="shared" si="1"/>
        <v>2</v>
      </c>
      <c r="F22" s="64" t="s">
        <v>8</v>
      </c>
      <c r="G22" s="44" t="s">
        <v>8</v>
      </c>
      <c r="H22" s="44" t="s">
        <v>18</v>
      </c>
      <c r="I22" s="44" t="s">
        <v>18</v>
      </c>
      <c r="J22" s="44" t="s">
        <v>18</v>
      </c>
      <c r="K22" s="44" t="s">
        <v>18</v>
      </c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/>
      <c r="EA22" s="44"/>
    </row>
    <row r="23" spans="1:131" s="19" customFormat="1">
      <c r="A23" s="54">
        <v>110949</v>
      </c>
      <c r="B23" s="55"/>
      <c r="C23" s="55" t="s">
        <v>45</v>
      </c>
      <c r="D23" s="68">
        <f t="shared" si="0"/>
        <v>6</v>
      </c>
      <c r="E23" s="70">
        <f t="shared" si="1"/>
        <v>0</v>
      </c>
      <c r="F23" s="63" t="s">
        <v>18</v>
      </c>
      <c r="G23" s="51" t="s">
        <v>18</v>
      </c>
      <c r="H23" s="51" t="s">
        <v>18</v>
      </c>
      <c r="I23" s="51" t="s">
        <v>18</v>
      </c>
      <c r="J23" s="51" t="s">
        <v>18</v>
      </c>
      <c r="K23" s="51" t="s">
        <v>18</v>
      </c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1"/>
      <c r="BO23" s="51"/>
      <c r="BP23" s="51"/>
      <c r="BQ23" s="51"/>
      <c r="BR23" s="51"/>
      <c r="BS23" s="51"/>
      <c r="BT23" s="51"/>
      <c r="BU23" s="51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51"/>
      <c r="CU23" s="51"/>
      <c r="CV23" s="51"/>
      <c r="CW23" s="51"/>
      <c r="CX23" s="51"/>
      <c r="CY23" s="51"/>
      <c r="CZ23" s="51"/>
      <c r="DA23" s="51"/>
      <c r="DB23" s="51"/>
      <c r="DC23" s="51"/>
      <c r="DD23" s="51"/>
      <c r="DE23" s="51"/>
      <c r="DF23" s="51"/>
      <c r="DG23" s="51"/>
      <c r="DH23" s="51"/>
      <c r="DI23" s="51"/>
      <c r="DJ23" s="51"/>
      <c r="DK23" s="51"/>
      <c r="DL23" s="51"/>
      <c r="DM23" s="51"/>
      <c r="DN23" s="51"/>
      <c r="DO23" s="51"/>
      <c r="DP23" s="51"/>
      <c r="DQ23" s="51"/>
      <c r="DR23" s="51"/>
      <c r="DS23" s="51"/>
      <c r="DT23" s="51"/>
      <c r="DU23" s="51"/>
      <c r="DV23" s="51"/>
      <c r="DW23" s="51"/>
      <c r="DX23" s="51"/>
      <c r="DY23" s="51"/>
      <c r="DZ23" s="51"/>
      <c r="EA23" s="51"/>
    </row>
    <row r="24" spans="1:131" s="19" customFormat="1">
      <c r="A24" s="39">
        <v>90705</v>
      </c>
      <c r="B24" s="40"/>
      <c r="C24" s="40" t="s">
        <v>46</v>
      </c>
      <c r="D24" s="69">
        <f t="shared" si="0"/>
        <v>4</v>
      </c>
      <c r="E24" s="74">
        <f t="shared" si="1"/>
        <v>2</v>
      </c>
      <c r="F24" s="64" t="s">
        <v>8</v>
      </c>
      <c r="G24" s="44" t="s">
        <v>8</v>
      </c>
      <c r="H24" s="44" t="s">
        <v>18</v>
      </c>
      <c r="I24" s="44" t="s">
        <v>18</v>
      </c>
      <c r="J24" s="44" t="s">
        <v>18</v>
      </c>
      <c r="K24" s="44" t="s">
        <v>18</v>
      </c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  <c r="CY24" s="44"/>
      <c r="CZ24" s="44"/>
      <c r="DA24" s="44"/>
      <c r="DB24" s="44"/>
      <c r="DC24" s="44"/>
      <c r="DD24" s="44"/>
      <c r="DE24" s="44"/>
      <c r="DF24" s="44"/>
      <c r="DG24" s="44"/>
      <c r="DH24" s="44"/>
      <c r="DI24" s="44"/>
      <c r="DJ24" s="44"/>
      <c r="DK24" s="44"/>
      <c r="DL24" s="44"/>
      <c r="DM24" s="44"/>
      <c r="DN24" s="44"/>
      <c r="DO24" s="44"/>
      <c r="DP24" s="44"/>
      <c r="DQ24" s="44"/>
      <c r="DR24" s="44"/>
      <c r="DS24" s="44"/>
      <c r="DT24" s="44"/>
      <c r="DU24" s="44"/>
      <c r="DV24" s="44"/>
      <c r="DW24" s="44"/>
      <c r="DX24" s="44"/>
      <c r="DY24" s="44"/>
      <c r="DZ24" s="44"/>
      <c r="EA24" s="44"/>
    </row>
    <row r="25" spans="1:131" s="19" customFormat="1">
      <c r="A25" s="54">
        <v>100881</v>
      </c>
      <c r="B25" s="55"/>
      <c r="C25" s="55" t="s">
        <v>47</v>
      </c>
      <c r="D25" s="68">
        <f t="shared" si="0"/>
        <v>4</v>
      </c>
      <c r="E25" s="70">
        <f t="shared" si="1"/>
        <v>2</v>
      </c>
      <c r="F25" s="63" t="s">
        <v>8</v>
      </c>
      <c r="G25" s="51" t="s">
        <v>8</v>
      </c>
      <c r="H25" s="51" t="s">
        <v>18</v>
      </c>
      <c r="I25" s="51" t="s">
        <v>18</v>
      </c>
      <c r="J25" s="51" t="s">
        <v>18</v>
      </c>
      <c r="K25" s="51" t="s">
        <v>18</v>
      </c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1"/>
      <c r="BO25" s="51"/>
      <c r="BP25" s="51"/>
      <c r="BQ25" s="51"/>
      <c r="BR25" s="51"/>
      <c r="BS25" s="51"/>
      <c r="BT25" s="51"/>
      <c r="BU25" s="51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1"/>
      <c r="CJ25" s="51"/>
      <c r="CK25" s="51"/>
      <c r="CL25" s="51"/>
      <c r="CM25" s="51"/>
      <c r="CN25" s="51"/>
      <c r="CO25" s="51"/>
      <c r="CP25" s="51"/>
      <c r="CQ25" s="51"/>
      <c r="CR25" s="51"/>
      <c r="CS25" s="51"/>
      <c r="CT25" s="51"/>
      <c r="CU25" s="51"/>
      <c r="CV25" s="51"/>
      <c r="CW25" s="51"/>
      <c r="CX25" s="51"/>
      <c r="CY25" s="51"/>
      <c r="CZ25" s="51"/>
      <c r="DA25" s="51"/>
      <c r="DB25" s="51"/>
      <c r="DC25" s="51"/>
      <c r="DD25" s="51"/>
      <c r="DE25" s="51"/>
      <c r="DF25" s="51"/>
      <c r="DG25" s="51"/>
      <c r="DH25" s="51"/>
      <c r="DI25" s="51"/>
      <c r="DJ25" s="51"/>
      <c r="DK25" s="51"/>
      <c r="DL25" s="51"/>
      <c r="DM25" s="51"/>
      <c r="DN25" s="51"/>
      <c r="DO25" s="51"/>
      <c r="DP25" s="51"/>
      <c r="DQ25" s="51"/>
      <c r="DR25" s="51"/>
      <c r="DS25" s="51"/>
      <c r="DT25" s="51"/>
      <c r="DU25" s="51"/>
      <c r="DV25" s="51"/>
      <c r="DW25" s="51"/>
      <c r="DX25" s="51"/>
      <c r="DY25" s="51"/>
      <c r="DZ25" s="51"/>
      <c r="EA25" s="51"/>
    </row>
    <row r="26" spans="1:131" s="19" customFormat="1">
      <c r="A26" s="39">
        <v>100885</v>
      </c>
      <c r="B26" s="40"/>
      <c r="C26" s="40" t="s">
        <v>48</v>
      </c>
      <c r="D26" s="69">
        <f t="shared" si="0"/>
        <v>4</v>
      </c>
      <c r="E26" s="74">
        <f t="shared" si="1"/>
        <v>2</v>
      </c>
      <c r="F26" s="64" t="s">
        <v>8</v>
      </c>
      <c r="G26" s="44" t="s">
        <v>8</v>
      </c>
      <c r="H26" s="44" t="s">
        <v>18</v>
      </c>
      <c r="I26" s="44" t="s">
        <v>18</v>
      </c>
      <c r="J26" s="44" t="s">
        <v>18</v>
      </c>
      <c r="K26" s="44" t="s">
        <v>18</v>
      </c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  <c r="CX26" s="44"/>
      <c r="CY26" s="44"/>
      <c r="CZ26" s="44"/>
      <c r="DA26" s="44"/>
      <c r="DB26" s="44"/>
      <c r="DC26" s="44"/>
      <c r="DD26" s="44"/>
      <c r="DE26" s="44"/>
      <c r="DF26" s="44"/>
      <c r="DG26" s="44"/>
      <c r="DH26" s="44"/>
      <c r="DI26" s="44"/>
      <c r="DJ26" s="44"/>
      <c r="DK26" s="44"/>
      <c r="DL26" s="44"/>
      <c r="DM26" s="44"/>
      <c r="DN26" s="44"/>
      <c r="DO26" s="44"/>
      <c r="DP26" s="44"/>
      <c r="DQ26" s="44"/>
      <c r="DR26" s="44"/>
      <c r="DS26" s="44"/>
      <c r="DT26" s="44"/>
      <c r="DU26" s="44"/>
      <c r="DV26" s="44"/>
      <c r="DW26" s="44"/>
      <c r="DX26" s="44"/>
      <c r="DY26" s="44"/>
      <c r="DZ26" s="44"/>
      <c r="EA26" s="44"/>
    </row>
    <row r="27" spans="1:131" s="19" customFormat="1">
      <c r="A27" s="54">
        <v>80185</v>
      </c>
      <c r="B27" s="55"/>
      <c r="C27" s="55" t="s">
        <v>49</v>
      </c>
      <c r="D27" s="68">
        <f t="shared" si="0"/>
        <v>6</v>
      </c>
      <c r="E27" s="70">
        <f t="shared" si="1"/>
        <v>0</v>
      </c>
      <c r="F27" s="65" t="s">
        <v>18</v>
      </c>
      <c r="G27" s="52" t="s">
        <v>18</v>
      </c>
      <c r="H27" s="52" t="s">
        <v>18</v>
      </c>
      <c r="I27" s="52" t="s">
        <v>18</v>
      </c>
      <c r="J27" s="52" t="s">
        <v>18</v>
      </c>
      <c r="K27" s="52" t="s">
        <v>18</v>
      </c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52"/>
      <c r="CU27" s="52"/>
      <c r="CV27" s="52"/>
      <c r="CW27" s="52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52"/>
      <c r="DS27" s="52"/>
      <c r="DT27" s="52"/>
      <c r="DU27" s="52"/>
      <c r="DV27" s="52"/>
      <c r="DW27" s="52"/>
      <c r="DX27" s="52"/>
      <c r="DY27" s="52"/>
      <c r="DZ27" s="52"/>
      <c r="EA27" s="52"/>
    </row>
    <row r="28" spans="1:131" s="19" customFormat="1">
      <c r="A28" s="39">
        <v>100895</v>
      </c>
      <c r="B28" s="40"/>
      <c r="C28" s="40" t="s">
        <v>7</v>
      </c>
      <c r="D28" s="69">
        <f t="shared" si="0"/>
        <v>4</v>
      </c>
      <c r="E28" s="74">
        <f t="shared" si="1"/>
        <v>2</v>
      </c>
      <c r="F28" s="64" t="s">
        <v>8</v>
      </c>
      <c r="G28" s="44" t="s">
        <v>8</v>
      </c>
      <c r="H28" s="44" t="s">
        <v>18</v>
      </c>
      <c r="I28" s="44" t="s">
        <v>18</v>
      </c>
      <c r="J28" s="44" t="s">
        <v>18</v>
      </c>
      <c r="K28" s="44" t="s">
        <v>18</v>
      </c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  <c r="CX28" s="44"/>
      <c r="CY28" s="44"/>
      <c r="CZ28" s="44"/>
      <c r="DA28" s="44"/>
      <c r="DB28" s="44"/>
      <c r="DC28" s="44"/>
      <c r="DD28" s="44"/>
      <c r="DE28" s="44"/>
      <c r="DF28" s="44"/>
      <c r="DG28" s="44"/>
      <c r="DH28" s="44"/>
      <c r="DI28" s="44"/>
      <c r="DJ28" s="44"/>
      <c r="DK28" s="44"/>
      <c r="DL28" s="44"/>
      <c r="DM28" s="44"/>
      <c r="DN28" s="44"/>
      <c r="DO28" s="44"/>
      <c r="DP28" s="44"/>
      <c r="DQ28" s="44"/>
      <c r="DR28" s="44"/>
      <c r="DS28" s="44"/>
      <c r="DT28" s="44"/>
      <c r="DU28" s="44"/>
      <c r="DV28" s="44"/>
      <c r="DW28" s="44"/>
      <c r="DX28" s="44"/>
      <c r="DY28" s="44"/>
      <c r="DZ28" s="44"/>
      <c r="EA28" s="44"/>
    </row>
    <row r="29" spans="1:131" s="19" customFormat="1">
      <c r="A29" s="54">
        <v>100897</v>
      </c>
      <c r="B29" s="55"/>
      <c r="C29" s="55" t="s">
        <v>50</v>
      </c>
      <c r="D29" s="68">
        <f t="shared" si="0"/>
        <v>4</v>
      </c>
      <c r="E29" s="70">
        <f t="shared" si="1"/>
        <v>2</v>
      </c>
      <c r="F29" s="63" t="s">
        <v>8</v>
      </c>
      <c r="G29" s="51" t="s">
        <v>8</v>
      </c>
      <c r="H29" s="51" t="s">
        <v>18</v>
      </c>
      <c r="I29" s="51" t="s">
        <v>18</v>
      </c>
      <c r="J29" s="51" t="s">
        <v>18</v>
      </c>
      <c r="K29" s="51" t="s">
        <v>18</v>
      </c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1"/>
      <c r="BO29" s="51"/>
      <c r="BP29" s="51"/>
      <c r="BQ29" s="51"/>
      <c r="BR29" s="51"/>
      <c r="BS29" s="51"/>
      <c r="BT29" s="51"/>
      <c r="BU29" s="51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51"/>
      <c r="CU29" s="51"/>
      <c r="CV29" s="51"/>
      <c r="CW29" s="51"/>
      <c r="CX29" s="51"/>
      <c r="CY29" s="51"/>
      <c r="CZ29" s="51"/>
      <c r="DA29" s="51"/>
      <c r="DB29" s="51"/>
      <c r="DC29" s="51"/>
      <c r="DD29" s="51"/>
      <c r="DE29" s="51"/>
      <c r="DF29" s="51"/>
      <c r="DG29" s="51"/>
      <c r="DH29" s="51"/>
      <c r="DI29" s="51"/>
      <c r="DJ29" s="51"/>
      <c r="DK29" s="51"/>
      <c r="DL29" s="51"/>
      <c r="DM29" s="51"/>
      <c r="DN29" s="51"/>
      <c r="DO29" s="51"/>
      <c r="DP29" s="51"/>
      <c r="DQ29" s="51"/>
      <c r="DR29" s="51"/>
      <c r="DS29" s="51"/>
      <c r="DT29" s="51"/>
      <c r="DU29" s="51"/>
      <c r="DV29" s="51"/>
      <c r="DW29" s="51"/>
      <c r="DX29" s="51"/>
      <c r="DY29" s="51"/>
      <c r="DZ29" s="51"/>
      <c r="EA29" s="51"/>
    </row>
    <row r="30" spans="1:131" s="19" customFormat="1">
      <c r="A30" s="39"/>
      <c r="B30" s="40"/>
      <c r="C30" s="40"/>
      <c r="D30" s="69">
        <f t="shared" si="0"/>
        <v>0</v>
      </c>
      <c r="E30" s="74">
        <f t="shared" si="1"/>
        <v>0</v>
      </c>
      <c r="F30" s="6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4"/>
      <c r="DJ30" s="44"/>
      <c r="DK30" s="44"/>
      <c r="DL30" s="44"/>
      <c r="DM30" s="44"/>
      <c r="DN30" s="44"/>
      <c r="DO30" s="44"/>
      <c r="DP30" s="44"/>
      <c r="DQ30" s="44"/>
      <c r="DR30" s="44"/>
      <c r="DS30" s="44"/>
      <c r="DT30" s="44"/>
      <c r="DU30" s="44"/>
      <c r="DV30" s="44"/>
      <c r="DW30" s="44"/>
      <c r="DX30" s="44"/>
      <c r="DY30" s="44"/>
      <c r="DZ30" s="44"/>
      <c r="EA30" s="44"/>
    </row>
    <row r="31" spans="1:131" s="19" customFormat="1">
      <c r="A31" s="54"/>
      <c r="B31" s="55"/>
      <c r="C31" s="55"/>
      <c r="D31" s="68">
        <f t="shared" si="0"/>
        <v>0</v>
      </c>
      <c r="E31" s="70">
        <f t="shared" si="1"/>
        <v>0</v>
      </c>
      <c r="F31" s="63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1"/>
      <c r="BE31" s="51"/>
      <c r="BF31" s="51"/>
      <c r="BG31" s="51"/>
      <c r="BH31" s="51"/>
      <c r="BI31" s="51"/>
      <c r="BJ31" s="51"/>
      <c r="BK31" s="51"/>
      <c r="BL31" s="51"/>
      <c r="BM31" s="51"/>
      <c r="BN31" s="51"/>
      <c r="BO31" s="51"/>
      <c r="BP31" s="51"/>
      <c r="BQ31" s="51"/>
      <c r="BR31" s="51"/>
      <c r="BS31" s="51"/>
      <c r="BT31" s="51"/>
      <c r="BU31" s="51"/>
      <c r="BV31" s="51"/>
      <c r="BW31" s="51"/>
      <c r="BX31" s="51"/>
      <c r="BY31" s="51"/>
      <c r="BZ31" s="51"/>
      <c r="CA31" s="51"/>
      <c r="CB31" s="51"/>
      <c r="CC31" s="51"/>
      <c r="CD31" s="51"/>
      <c r="CE31" s="51"/>
      <c r="CF31" s="51"/>
      <c r="CG31" s="51"/>
      <c r="CH31" s="51"/>
      <c r="CI31" s="51"/>
      <c r="CJ31" s="51"/>
      <c r="CK31" s="51"/>
      <c r="CL31" s="51"/>
      <c r="CM31" s="51"/>
      <c r="CN31" s="51"/>
      <c r="CO31" s="51"/>
      <c r="CP31" s="51"/>
      <c r="CQ31" s="51"/>
      <c r="CR31" s="51"/>
      <c r="CS31" s="51"/>
      <c r="CT31" s="51"/>
      <c r="CU31" s="51"/>
      <c r="CV31" s="51"/>
      <c r="CW31" s="51"/>
      <c r="CX31" s="51"/>
      <c r="CY31" s="51"/>
      <c r="CZ31" s="51"/>
      <c r="DA31" s="51"/>
      <c r="DB31" s="51"/>
      <c r="DC31" s="51"/>
      <c r="DD31" s="51"/>
      <c r="DE31" s="51"/>
      <c r="DF31" s="51"/>
      <c r="DG31" s="51"/>
      <c r="DH31" s="51"/>
      <c r="DI31" s="51"/>
      <c r="DJ31" s="51"/>
      <c r="DK31" s="51"/>
      <c r="DL31" s="51"/>
      <c r="DM31" s="51"/>
      <c r="DN31" s="51"/>
      <c r="DO31" s="51"/>
      <c r="DP31" s="51"/>
      <c r="DQ31" s="51"/>
      <c r="DR31" s="51"/>
      <c r="DS31" s="51"/>
      <c r="DT31" s="51"/>
      <c r="DU31" s="51"/>
      <c r="DV31" s="51"/>
      <c r="DW31" s="51"/>
      <c r="DX31" s="51"/>
      <c r="DY31" s="51"/>
      <c r="DZ31" s="51"/>
      <c r="EA31" s="51"/>
    </row>
    <row r="32" spans="1:131" s="19" customFormat="1">
      <c r="A32" s="39"/>
      <c r="B32" s="40"/>
      <c r="C32" s="40"/>
      <c r="D32" s="69">
        <f t="shared" si="0"/>
        <v>0</v>
      </c>
      <c r="E32" s="74">
        <f t="shared" si="1"/>
        <v>0</v>
      </c>
      <c r="F32" s="6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  <c r="CX32" s="44"/>
      <c r="CY32" s="44"/>
      <c r="CZ32" s="44"/>
      <c r="DA32" s="44"/>
      <c r="DB32" s="44"/>
      <c r="DC32" s="44"/>
      <c r="DD32" s="44"/>
      <c r="DE32" s="44"/>
      <c r="DF32" s="44"/>
      <c r="DG32" s="44"/>
      <c r="DH32" s="44"/>
      <c r="DI32" s="44"/>
      <c r="DJ32" s="44"/>
      <c r="DK32" s="44"/>
      <c r="DL32" s="44"/>
      <c r="DM32" s="44"/>
      <c r="DN32" s="44"/>
      <c r="DO32" s="44"/>
      <c r="DP32" s="44"/>
      <c r="DQ32" s="44"/>
      <c r="DR32" s="44"/>
      <c r="DS32" s="44"/>
      <c r="DT32" s="44"/>
      <c r="DU32" s="44"/>
      <c r="DV32" s="44"/>
      <c r="DW32" s="44"/>
      <c r="DX32" s="44"/>
      <c r="DY32" s="44"/>
      <c r="DZ32" s="44"/>
      <c r="EA32" s="44"/>
    </row>
    <row r="33" spans="1:131" s="19" customFormat="1">
      <c r="A33" s="54"/>
      <c r="B33" s="55"/>
      <c r="C33" s="55"/>
      <c r="D33" s="68">
        <f t="shared" si="0"/>
        <v>0</v>
      </c>
      <c r="E33" s="70">
        <f t="shared" si="1"/>
        <v>0</v>
      </c>
      <c r="F33" s="63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  <c r="BL33" s="51"/>
      <c r="BM33" s="51"/>
      <c r="BN33" s="51"/>
      <c r="BO33" s="51"/>
      <c r="BP33" s="51"/>
      <c r="BQ33" s="51"/>
      <c r="BR33" s="51"/>
      <c r="BS33" s="51"/>
      <c r="BT33" s="51"/>
      <c r="BU33" s="51"/>
      <c r="BV33" s="51"/>
      <c r="BW33" s="51"/>
      <c r="BX33" s="51"/>
      <c r="BY33" s="51"/>
      <c r="BZ33" s="51"/>
      <c r="CA33" s="51"/>
      <c r="CB33" s="51"/>
      <c r="CC33" s="51"/>
      <c r="CD33" s="51"/>
      <c r="CE33" s="51"/>
      <c r="CF33" s="51"/>
      <c r="CG33" s="51"/>
      <c r="CH33" s="51"/>
      <c r="CI33" s="51"/>
      <c r="CJ33" s="51"/>
      <c r="CK33" s="51"/>
      <c r="CL33" s="51"/>
      <c r="CM33" s="51"/>
      <c r="CN33" s="51"/>
      <c r="CO33" s="51"/>
      <c r="CP33" s="51"/>
      <c r="CQ33" s="51"/>
      <c r="CR33" s="51"/>
      <c r="CS33" s="51"/>
      <c r="CT33" s="51"/>
      <c r="CU33" s="51"/>
      <c r="CV33" s="51"/>
      <c r="CW33" s="51"/>
      <c r="CX33" s="51"/>
      <c r="CY33" s="51"/>
      <c r="CZ33" s="51"/>
      <c r="DA33" s="51"/>
      <c r="DB33" s="51"/>
      <c r="DC33" s="51"/>
      <c r="DD33" s="51"/>
      <c r="DE33" s="51"/>
      <c r="DF33" s="51"/>
      <c r="DG33" s="51"/>
      <c r="DH33" s="51"/>
      <c r="DI33" s="51"/>
      <c r="DJ33" s="51"/>
      <c r="DK33" s="51"/>
      <c r="DL33" s="51"/>
      <c r="DM33" s="51"/>
      <c r="DN33" s="51"/>
      <c r="DO33" s="51"/>
      <c r="DP33" s="51"/>
      <c r="DQ33" s="51"/>
      <c r="DR33" s="51"/>
      <c r="DS33" s="51"/>
      <c r="DT33" s="51"/>
      <c r="DU33" s="51"/>
      <c r="DV33" s="51"/>
      <c r="DW33" s="51"/>
      <c r="DX33" s="51"/>
      <c r="DY33" s="51"/>
      <c r="DZ33" s="51"/>
      <c r="EA33" s="51"/>
    </row>
    <row r="34" spans="1:131" s="19" customFormat="1">
      <c r="A34" s="39"/>
      <c r="B34" s="40"/>
      <c r="C34" s="40"/>
      <c r="D34" s="69">
        <f t="shared" si="0"/>
        <v>0</v>
      </c>
      <c r="E34" s="74">
        <f t="shared" si="1"/>
        <v>0</v>
      </c>
      <c r="F34" s="6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  <c r="DA34" s="44"/>
      <c r="DB34" s="44"/>
      <c r="DC34" s="44"/>
      <c r="DD34" s="44"/>
      <c r="DE34" s="44"/>
      <c r="DF34" s="44"/>
      <c r="DG34" s="44"/>
      <c r="DH34" s="44"/>
      <c r="DI34" s="44"/>
      <c r="DJ34" s="44"/>
      <c r="DK34" s="44"/>
      <c r="DL34" s="44"/>
      <c r="DM34" s="44"/>
      <c r="DN34" s="44"/>
      <c r="DO34" s="44"/>
      <c r="DP34" s="44"/>
      <c r="DQ34" s="44"/>
      <c r="DR34" s="44"/>
      <c r="DS34" s="44"/>
      <c r="DT34" s="44"/>
      <c r="DU34" s="44"/>
      <c r="DV34" s="44"/>
      <c r="DW34" s="44"/>
      <c r="DX34" s="44"/>
      <c r="DY34" s="44"/>
      <c r="DZ34" s="44"/>
      <c r="EA34" s="44"/>
    </row>
    <row r="35" spans="1:131" s="19" customFormat="1">
      <c r="A35" s="49"/>
      <c r="B35" s="50"/>
      <c r="C35" s="50"/>
      <c r="D35" s="68">
        <f t="shared" si="0"/>
        <v>0</v>
      </c>
      <c r="E35" s="70">
        <f t="shared" si="1"/>
        <v>0</v>
      </c>
      <c r="F35" s="63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  <c r="BD35" s="51"/>
      <c r="BE35" s="51"/>
      <c r="BF35" s="51"/>
      <c r="BG35" s="51"/>
      <c r="BH35" s="51"/>
      <c r="BI35" s="51"/>
      <c r="BJ35" s="51"/>
      <c r="BK35" s="51"/>
      <c r="BL35" s="51"/>
      <c r="BM35" s="51"/>
      <c r="BN35" s="51"/>
      <c r="BO35" s="51"/>
      <c r="BP35" s="51"/>
      <c r="BQ35" s="51"/>
      <c r="BR35" s="51"/>
      <c r="BS35" s="51"/>
      <c r="BT35" s="51"/>
      <c r="BU35" s="51"/>
      <c r="BV35" s="51"/>
      <c r="BW35" s="51"/>
      <c r="BX35" s="51"/>
      <c r="BY35" s="51"/>
      <c r="BZ35" s="51"/>
      <c r="CA35" s="51"/>
      <c r="CB35" s="51"/>
      <c r="CC35" s="51"/>
      <c r="CD35" s="51"/>
      <c r="CE35" s="51"/>
      <c r="CF35" s="51"/>
      <c r="CG35" s="51"/>
      <c r="CH35" s="51"/>
      <c r="CI35" s="51"/>
      <c r="CJ35" s="51"/>
      <c r="CK35" s="51"/>
      <c r="CL35" s="51"/>
      <c r="CM35" s="51"/>
      <c r="CN35" s="51"/>
      <c r="CO35" s="51"/>
      <c r="CP35" s="51"/>
      <c r="CQ35" s="51"/>
      <c r="CR35" s="51"/>
      <c r="CS35" s="51"/>
      <c r="CT35" s="51"/>
      <c r="CU35" s="51"/>
      <c r="CV35" s="51"/>
      <c r="CW35" s="51"/>
      <c r="CX35" s="51"/>
      <c r="CY35" s="51"/>
      <c r="CZ35" s="51"/>
      <c r="DA35" s="51"/>
      <c r="DB35" s="51"/>
      <c r="DC35" s="51"/>
      <c r="DD35" s="51"/>
      <c r="DE35" s="51"/>
      <c r="DF35" s="51"/>
      <c r="DG35" s="51"/>
      <c r="DH35" s="51"/>
      <c r="DI35" s="51"/>
      <c r="DJ35" s="51"/>
      <c r="DK35" s="51"/>
      <c r="DL35" s="51"/>
      <c r="DM35" s="51"/>
      <c r="DN35" s="51"/>
      <c r="DO35" s="51"/>
      <c r="DP35" s="51"/>
      <c r="DQ35" s="51"/>
      <c r="DR35" s="51"/>
      <c r="DS35" s="51"/>
      <c r="DT35" s="51"/>
      <c r="DU35" s="51"/>
      <c r="DV35" s="51"/>
      <c r="DW35" s="51"/>
      <c r="DX35" s="51"/>
      <c r="DY35" s="51"/>
      <c r="DZ35" s="51"/>
      <c r="EA35" s="51"/>
    </row>
    <row r="36" spans="1:131" s="1" customFormat="1">
      <c r="A36" s="39"/>
      <c r="B36" s="61"/>
      <c r="C36" s="61"/>
      <c r="D36" s="69">
        <f t="shared" si="0"/>
        <v>0</v>
      </c>
      <c r="E36" s="74">
        <f t="shared" si="1"/>
        <v>0</v>
      </c>
      <c r="F36" s="6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  <c r="DA36" s="44"/>
      <c r="DB36" s="44"/>
      <c r="DC36" s="44"/>
      <c r="DD36" s="44"/>
      <c r="DE36" s="44"/>
      <c r="DF36" s="44"/>
      <c r="DG36" s="44"/>
      <c r="DH36" s="44"/>
      <c r="DI36" s="44"/>
      <c r="DJ36" s="44"/>
      <c r="DK36" s="44"/>
      <c r="DL36" s="44"/>
      <c r="DM36" s="44"/>
      <c r="DN36" s="44"/>
      <c r="DO36" s="44"/>
      <c r="DP36" s="44"/>
      <c r="DQ36" s="44"/>
      <c r="DR36" s="44"/>
      <c r="DS36" s="44"/>
      <c r="DT36" s="44"/>
      <c r="DU36" s="44"/>
      <c r="DV36" s="44"/>
      <c r="DW36" s="44"/>
      <c r="DX36" s="44"/>
      <c r="DY36" s="44"/>
      <c r="DZ36" s="44"/>
      <c r="EA36" s="44"/>
    </row>
    <row r="37" spans="1:131" s="1" customFormat="1">
      <c r="A37" s="54"/>
      <c r="B37" s="55"/>
      <c r="C37" s="55"/>
      <c r="D37" s="68">
        <f t="shared" si="0"/>
        <v>0</v>
      </c>
      <c r="E37" s="70">
        <f t="shared" si="1"/>
        <v>0</v>
      </c>
      <c r="F37" s="63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  <c r="BC37" s="51"/>
      <c r="BD37" s="51"/>
      <c r="BE37" s="51"/>
      <c r="BF37" s="51"/>
      <c r="BG37" s="51"/>
      <c r="BH37" s="51"/>
      <c r="BI37" s="51"/>
      <c r="BJ37" s="51"/>
      <c r="BK37" s="51"/>
      <c r="BL37" s="51"/>
      <c r="BM37" s="51"/>
      <c r="BN37" s="51"/>
      <c r="BO37" s="51"/>
      <c r="BP37" s="51"/>
      <c r="BQ37" s="51"/>
      <c r="BR37" s="51"/>
      <c r="BS37" s="51"/>
      <c r="BT37" s="51"/>
      <c r="BU37" s="51"/>
      <c r="BV37" s="51"/>
      <c r="BW37" s="51"/>
      <c r="BX37" s="51"/>
      <c r="BY37" s="51"/>
      <c r="BZ37" s="51"/>
      <c r="CA37" s="51"/>
      <c r="CB37" s="51"/>
      <c r="CC37" s="51"/>
      <c r="CD37" s="51"/>
      <c r="CE37" s="51"/>
      <c r="CF37" s="51"/>
      <c r="CG37" s="51"/>
      <c r="CH37" s="51"/>
      <c r="CI37" s="51"/>
      <c r="CJ37" s="51"/>
      <c r="CK37" s="51"/>
      <c r="CL37" s="51"/>
      <c r="CM37" s="51"/>
      <c r="CN37" s="51"/>
      <c r="CO37" s="51"/>
      <c r="CP37" s="51"/>
      <c r="CQ37" s="51"/>
      <c r="CR37" s="51"/>
      <c r="CS37" s="51"/>
      <c r="CT37" s="51"/>
      <c r="CU37" s="51"/>
      <c r="CV37" s="51"/>
      <c r="CW37" s="51"/>
      <c r="CX37" s="51"/>
      <c r="CY37" s="51"/>
      <c r="CZ37" s="51"/>
      <c r="DA37" s="51"/>
      <c r="DB37" s="51"/>
      <c r="DC37" s="51"/>
      <c r="DD37" s="51"/>
      <c r="DE37" s="51"/>
      <c r="DF37" s="51"/>
      <c r="DG37" s="51"/>
      <c r="DH37" s="51"/>
      <c r="DI37" s="51"/>
      <c r="DJ37" s="51"/>
      <c r="DK37" s="51"/>
      <c r="DL37" s="51"/>
      <c r="DM37" s="51"/>
      <c r="DN37" s="51"/>
      <c r="DO37" s="51"/>
      <c r="DP37" s="51"/>
      <c r="DQ37" s="51"/>
      <c r="DR37" s="51"/>
      <c r="DS37" s="51"/>
      <c r="DT37" s="51"/>
      <c r="DU37" s="51"/>
      <c r="DV37" s="51"/>
      <c r="DW37" s="51"/>
      <c r="DX37" s="51"/>
      <c r="DY37" s="51"/>
      <c r="DZ37" s="51"/>
      <c r="EA37" s="51"/>
    </row>
    <row r="38" spans="1:131" s="1" customFormat="1">
      <c r="A38" s="39"/>
      <c r="B38" s="61"/>
      <c r="C38" s="61"/>
      <c r="D38" s="69">
        <f t="shared" si="0"/>
        <v>0</v>
      </c>
      <c r="E38" s="74">
        <f t="shared" si="1"/>
        <v>0</v>
      </c>
      <c r="F38" s="6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  <c r="CX38" s="44"/>
      <c r="CY38" s="44"/>
      <c r="CZ38" s="44"/>
      <c r="DA38" s="44"/>
      <c r="DB38" s="44"/>
      <c r="DC38" s="44"/>
      <c r="DD38" s="44"/>
      <c r="DE38" s="44"/>
      <c r="DF38" s="44"/>
      <c r="DG38" s="44"/>
      <c r="DH38" s="44"/>
      <c r="DI38" s="44"/>
      <c r="DJ38" s="44"/>
      <c r="DK38" s="44"/>
      <c r="DL38" s="44"/>
      <c r="DM38" s="44"/>
      <c r="DN38" s="44"/>
      <c r="DO38" s="44"/>
      <c r="DP38" s="44"/>
      <c r="DQ38" s="44"/>
      <c r="DR38" s="44"/>
      <c r="DS38" s="44"/>
      <c r="DT38" s="44"/>
      <c r="DU38" s="44"/>
      <c r="DV38" s="44"/>
      <c r="DW38" s="44"/>
      <c r="DX38" s="44"/>
      <c r="DY38" s="44"/>
      <c r="DZ38" s="44"/>
      <c r="EA38" s="44"/>
    </row>
    <row r="39" spans="1:131" s="1" customFormat="1">
      <c r="A39" s="54"/>
      <c r="B39" s="55"/>
      <c r="C39" s="55"/>
      <c r="D39" s="68">
        <f t="shared" si="0"/>
        <v>0</v>
      </c>
      <c r="E39" s="70">
        <f t="shared" si="1"/>
        <v>0</v>
      </c>
      <c r="F39" s="63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/>
      <c r="BB39" s="51"/>
      <c r="BC39" s="51"/>
      <c r="BD39" s="51"/>
      <c r="BE39" s="51"/>
      <c r="BF39" s="51"/>
      <c r="BG39" s="51"/>
      <c r="BH39" s="51"/>
      <c r="BI39" s="51"/>
      <c r="BJ39" s="51"/>
      <c r="BK39" s="51"/>
      <c r="BL39" s="51"/>
      <c r="BM39" s="51"/>
      <c r="BN39" s="51"/>
      <c r="BO39" s="51"/>
      <c r="BP39" s="51"/>
      <c r="BQ39" s="51"/>
      <c r="BR39" s="51"/>
      <c r="BS39" s="51"/>
      <c r="BT39" s="51"/>
      <c r="BU39" s="51"/>
      <c r="BV39" s="51"/>
      <c r="BW39" s="51"/>
      <c r="BX39" s="51"/>
      <c r="BY39" s="51"/>
      <c r="BZ39" s="51"/>
      <c r="CA39" s="51"/>
      <c r="CB39" s="51"/>
      <c r="CC39" s="51"/>
      <c r="CD39" s="51"/>
      <c r="CE39" s="51"/>
      <c r="CF39" s="51"/>
      <c r="CG39" s="51"/>
      <c r="CH39" s="51"/>
      <c r="CI39" s="51"/>
      <c r="CJ39" s="51"/>
      <c r="CK39" s="51"/>
      <c r="CL39" s="51"/>
      <c r="CM39" s="51"/>
      <c r="CN39" s="51"/>
      <c r="CO39" s="51"/>
      <c r="CP39" s="51"/>
      <c r="CQ39" s="51"/>
      <c r="CR39" s="51"/>
      <c r="CS39" s="51"/>
      <c r="CT39" s="51"/>
      <c r="CU39" s="51"/>
      <c r="CV39" s="51"/>
      <c r="CW39" s="51"/>
      <c r="CX39" s="51"/>
      <c r="CY39" s="51"/>
      <c r="CZ39" s="51"/>
      <c r="DA39" s="51"/>
      <c r="DB39" s="51"/>
      <c r="DC39" s="51"/>
      <c r="DD39" s="51"/>
      <c r="DE39" s="51"/>
      <c r="DF39" s="51"/>
      <c r="DG39" s="51"/>
      <c r="DH39" s="51"/>
      <c r="DI39" s="51"/>
      <c r="DJ39" s="51"/>
      <c r="DK39" s="51"/>
      <c r="DL39" s="51"/>
      <c r="DM39" s="51"/>
      <c r="DN39" s="51"/>
      <c r="DO39" s="51"/>
      <c r="DP39" s="51"/>
      <c r="DQ39" s="51"/>
      <c r="DR39" s="51"/>
      <c r="DS39" s="51"/>
      <c r="DT39" s="51"/>
      <c r="DU39" s="51"/>
      <c r="DV39" s="51"/>
      <c r="DW39" s="51"/>
      <c r="DX39" s="51"/>
      <c r="DY39" s="51"/>
      <c r="DZ39" s="51"/>
      <c r="EA39" s="51"/>
    </row>
    <row r="40" spans="1:131">
      <c r="A40" s="39"/>
      <c r="B40" s="61"/>
      <c r="C40" s="61"/>
      <c r="D40" s="69">
        <f t="shared" si="0"/>
        <v>0</v>
      </c>
      <c r="E40" s="74">
        <f t="shared" si="1"/>
        <v>0</v>
      </c>
      <c r="F40" s="6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44"/>
      <c r="CY40" s="44"/>
      <c r="CZ40" s="44"/>
      <c r="DA40" s="44"/>
      <c r="DB40" s="44"/>
      <c r="DC40" s="44"/>
      <c r="DD40" s="44"/>
      <c r="DE40" s="44"/>
      <c r="DF40" s="44"/>
      <c r="DG40" s="44"/>
      <c r="DH40" s="44"/>
      <c r="DI40" s="44"/>
      <c r="DJ40" s="44"/>
      <c r="DK40" s="44"/>
      <c r="DL40" s="44"/>
      <c r="DM40" s="44"/>
      <c r="DN40" s="44"/>
      <c r="DO40" s="44"/>
      <c r="DP40" s="44"/>
      <c r="DQ40" s="44"/>
      <c r="DR40" s="44"/>
      <c r="DS40" s="44"/>
      <c r="DT40" s="44"/>
      <c r="DU40" s="44"/>
      <c r="DV40" s="44"/>
      <c r="DW40" s="44"/>
      <c r="DX40" s="44"/>
      <c r="DY40" s="44"/>
      <c r="DZ40" s="44"/>
      <c r="EA40" s="44"/>
    </row>
    <row r="41" spans="1:131">
      <c r="A41" s="54"/>
      <c r="B41" s="55"/>
      <c r="C41" s="55"/>
      <c r="D41" s="68">
        <f t="shared" si="0"/>
        <v>0</v>
      </c>
      <c r="E41" s="70">
        <f t="shared" si="1"/>
        <v>0</v>
      </c>
      <c r="F41" s="63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  <c r="BG41" s="51"/>
      <c r="BH41" s="51"/>
      <c r="BI41" s="51"/>
      <c r="BJ41" s="51"/>
      <c r="BK41" s="51"/>
      <c r="BL41" s="51"/>
      <c r="BM41" s="51"/>
      <c r="BN41" s="51"/>
      <c r="BO41" s="51"/>
      <c r="BP41" s="51"/>
      <c r="BQ41" s="51"/>
      <c r="BR41" s="51"/>
      <c r="BS41" s="51"/>
      <c r="BT41" s="51"/>
      <c r="BU41" s="51"/>
      <c r="BV41" s="51"/>
      <c r="BW41" s="51"/>
      <c r="BX41" s="51"/>
      <c r="BY41" s="51"/>
      <c r="BZ41" s="51"/>
      <c r="CA41" s="51"/>
      <c r="CB41" s="51"/>
      <c r="CC41" s="51"/>
      <c r="CD41" s="51"/>
      <c r="CE41" s="51"/>
      <c r="CF41" s="51"/>
      <c r="CG41" s="51"/>
      <c r="CH41" s="51"/>
      <c r="CI41" s="51"/>
      <c r="CJ41" s="51"/>
      <c r="CK41" s="51"/>
      <c r="CL41" s="51"/>
      <c r="CM41" s="51"/>
      <c r="CN41" s="51"/>
      <c r="CO41" s="51"/>
      <c r="CP41" s="51"/>
      <c r="CQ41" s="51"/>
      <c r="CR41" s="51"/>
      <c r="CS41" s="51"/>
      <c r="CT41" s="51"/>
      <c r="CU41" s="51"/>
      <c r="CV41" s="51"/>
      <c r="CW41" s="51"/>
      <c r="CX41" s="51"/>
      <c r="CY41" s="51"/>
      <c r="CZ41" s="51"/>
      <c r="DA41" s="51"/>
      <c r="DB41" s="51"/>
      <c r="DC41" s="51"/>
      <c r="DD41" s="51"/>
      <c r="DE41" s="51"/>
      <c r="DF41" s="51"/>
      <c r="DG41" s="51"/>
      <c r="DH41" s="51"/>
      <c r="DI41" s="51"/>
      <c r="DJ41" s="51"/>
      <c r="DK41" s="51"/>
      <c r="DL41" s="51"/>
      <c r="DM41" s="51"/>
      <c r="DN41" s="51"/>
      <c r="DO41" s="51"/>
      <c r="DP41" s="51"/>
      <c r="DQ41" s="51"/>
      <c r="DR41" s="51"/>
      <c r="DS41" s="51"/>
      <c r="DT41" s="51"/>
      <c r="DU41" s="51"/>
      <c r="DV41" s="51"/>
      <c r="DW41" s="51"/>
      <c r="DX41" s="51"/>
      <c r="DY41" s="51"/>
      <c r="DZ41" s="51"/>
      <c r="EA41" s="51"/>
    </row>
    <row r="42" spans="1:131">
      <c r="A42" s="39"/>
      <c r="B42" s="61"/>
      <c r="C42" s="61"/>
      <c r="D42" s="69">
        <f t="shared" si="0"/>
        <v>0</v>
      </c>
      <c r="E42" s="74">
        <f t="shared" si="1"/>
        <v>0</v>
      </c>
      <c r="F42" s="6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44"/>
      <c r="CY42" s="44"/>
      <c r="CZ42" s="44"/>
      <c r="DA42" s="44"/>
      <c r="DB42" s="44"/>
      <c r="DC42" s="44"/>
      <c r="DD42" s="44"/>
      <c r="DE42" s="44"/>
      <c r="DF42" s="44"/>
      <c r="DG42" s="44"/>
      <c r="DH42" s="44"/>
      <c r="DI42" s="44"/>
      <c r="DJ42" s="44"/>
      <c r="DK42" s="44"/>
      <c r="DL42" s="44"/>
      <c r="DM42" s="44"/>
      <c r="DN42" s="44"/>
      <c r="DO42" s="44"/>
      <c r="DP42" s="44"/>
      <c r="DQ42" s="44"/>
      <c r="DR42" s="44"/>
      <c r="DS42" s="44"/>
      <c r="DT42" s="44"/>
      <c r="DU42" s="44"/>
      <c r="DV42" s="44"/>
      <c r="DW42" s="44"/>
      <c r="DX42" s="44"/>
      <c r="DY42" s="44"/>
      <c r="DZ42" s="44"/>
      <c r="EA42" s="44"/>
    </row>
    <row r="43" spans="1:131">
      <c r="A43" s="54"/>
      <c r="B43" s="55"/>
      <c r="C43" s="55"/>
      <c r="D43" s="68">
        <f t="shared" si="0"/>
        <v>0</v>
      </c>
      <c r="E43" s="70">
        <f t="shared" si="1"/>
        <v>0</v>
      </c>
      <c r="F43" s="63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  <c r="BG43" s="51"/>
      <c r="BH43" s="51"/>
      <c r="BI43" s="51"/>
      <c r="BJ43" s="51"/>
      <c r="BK43" s="51"/>
      <c r="BL43" s="51"/>
      <c r="BM43" s="51"/>
      <c r="BN43" s="51"/>
      <c r="BO43" s="51"/>
      <c r="BP43" s="51"/>
      <c r="BQ43" s="51"/>
      <c r="BR43" s="51"/>
      <c r="BS43" s="51"/>
      <c r="BT43" s="51"/>
      <c r="BU43" s="51"/>
      <c r="BV43" s="51"/>
      <c r="BW43" s="51"/>
      <c r="BX43" s="51"/>
      <c r="BY43" s="51"/>
      <c r="BZ43" s="51"/>
      <c r="CA43" s="51"/>
      <c r="CB43" s="51"/>
      <c r="CC43" s="51"/>
      <c r="CD43" s="51"/>
      <c r="CE43" s="51"/>
      <c r="CF43" s="51"/>
      <c r="CG43" s="51"/>
      <c r="CH43" s="51"/>
      <c r="CI43" s="51"/>
      <c r="CJ43" s="51"/>
      <c r="CK43" s="51"/>
      <c r="CL43" s="51"/>
      <c r="CM43" s="51"/>
      <c r="CN43" s="51"/>
      <c r="CO43" s="51"/>
      <c r="CP43" s="51"/>
      <c r="CQ43" s="51"/>
      <c r="CR43" s="51"/>
      <c r="CS43" s="51"/>
      <c r="CT43" s="51"/>
      <c r="CU43" s="51"/>
      <c r="CV43" s="51"/>
      <c r="CW43" s="51"/>
      <c r="CX43" s="51"/>
      <c r="CY43" s="51"/>
      <c r="CZ43" s="51"/>
      <c r="DA43" s="51"/>
      <c r="DB43" s="51"/>
      <c r="DC43" s="51"/>
      <c r="DD43" s="51"/>
      <c r="DE43" s="51"/>
      <c r="DF43" s="51"/>
      <c r="DG43" s="51"/>
      <c r="DH43" s="51"/>
      <c r="DI43" s="51"/>
      <c r="DJ43" s="51"/>
      <c r="DK43" s="51"/>
      <c r="DL43" s="51"/>
      <c r="DM43" s="51"/>
      <c r="DN43" s="51"/>
      <c r="DO43" s="51"/>
      <c r="DP43" s="51"/>
      <c r="DQ43" s="51"/>
      <c r="DR43" s="51"/>
      <c r="DS43" s="51"/>
      <c r="DT43" s="51"/>
      <c r="DU43" s="51"/>
      <c r="DV43" s="51"/>
      <c r="DW43" s="51"/>
      <c r="DX43" s="51"/>
      <c r="DY43" s="51"/>
      <c r="DZ43" s="51"/>
      <c r="EA43" s="51"/>
    </row>
    <row r="44" spans="1:131">
      <c r="A44" s="39"/>
      <c r="B44" s="61"/>
      <c r="C44" s="61"/>
      <c r="D44" s="69">
        <f t="shared" si="0"/>
        <v>0</v>
      </c>
      <c r="E44" s="74">
        <f t="shared" si="1"/>
        <v>0</v>
      </c>
      <c r="F44" s="6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/>
      <c r="DE44" s="44"/>
      <c r="DF44" s="44"/>
      <c r="DG44" s="44"/>
      <c r="DH44" s="44"/>
      <c r="DI44" s="44"/>
      <c r="DJ44" s="44"/>
      <c r="DK44" s="44"/>
      <c r="DL44" s="44"/>
      <c r="DM44" s="44"/>
      <c r="DN44" s="44"/>
      <c r="DO44" s="44"/>
      <c r="DP44" s="44"/>
      <c r="DQ44" s="44"/>
      <c r="DR44" s="44"/>
      <c r="DS44" s="44"/>
      <c r="DT44" s="44"/>
      <c r="DU44" s="44"/>
      <c r="DV44" s="44"/>
      <c r="DW44" s="44"/>
      <c r="DX44" s="44"/>
      <c r="DY44" s="44"/>
      <c r="DZ44" s="44"/>
      <c r="EA44" s="44"/>
    </row>
    <row r="45" spans="1:131">
      <c r="A45" s="54"/>
      <c r="B45" s="55"/>
      <c r="C45" s="55"/>
      <c r="D45" s="68">
        <f t="shared" si="0"/>
        <v>0</v>
      </c>
      <c r="E45" s="70">
        <f t="shared" si="1"/>
        <v>0</v>
      </c>
      <c r="F45" s="63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  <c r="BC45" s="51"/>
      <c r="BD45" s="51"/>
      <c r="BE45" s="51"/>
      <c r="BF45" s="51"/>
      <c r="BG45" s="51"/>
      <c r="BH45" s="51"/>
      <c r="BI45" s="51"/>
      <c r="BJ45" s="51"/>
      <c r="BK45" s="51"/>
      <c r="BL45" s="51"/>
      <c r="BM45" s="51"/>
      <c r="BN45" s="51"/>
      <c r="BO45" s="51"/>
      <c r="BP45" s="51"/>
      <c r="BQ45" s="51"/>
      <c r="BR45" s="51"/>
      <c r="BS45" s="51"/>
      <c r="BT45" s="51"/>
      <c r="BU45" s="51"/>
      <c r="BV45" s="51"/>
      <c r="BW45" s="51"/>
      <c r="BX45" s="51"/>
      <c r="BY45" s="51"/>
      <c r="BZ45" s="51"/>
      <c r="CA45" s="51"/>
      <c r="CB45" s="51"/>
      <c r="CC45" s="51"/>
      <c r="CD45" s="51"/>
      <c r="CE45" s="51"/>
      <c r="CF45" s="51"/>
      <c r="CG45" s="51"/>
      <c r="CH45" s="51"/>
      <c r="CI45" s="51"/>
      <c r="CJ45" s="51"/>
      <c r="CK45" s="51"/>
      <c r="CL45" s="51"/>
      <c r="CM45" s="51"/>
      <c r="CN45" s="51"/>
      <c r="CO45" s="51"/>
      <c r="CP45" s="51"/>
      <c r="CQ45" s="51"/>
      <c r="CR45" s="51"/>
      <c r="CS45" s="51"/>
      <c r="CT45" s="51"/>
      <c r="CU45" s="51"/>
      <c r="CV45" s="51"/>
      <c r="CW45" s="51"/>
      <c r="CX45" s="51"/>
      <c r="CY45" s="51"/>
      <c r="CZ45" s="51"/>
      <c r="DA45" s="51"/>
      <c r="DB45" s="51"/>
      <c r="DC45" s="51"/>
      <c r="DD45" s="51"/>
      <c r="DE45" s="51"/>
      <c r="DF45" s="51"/>
      <c r="DG45" s="51"/>
      <c r="DH45" s="51"/>
      <c r="DI45" s="51"/>
      <c r="DJ45" s="51"/>
      <c r="DK45" s="51"/>
      <c r="DL45" s="51"/>
      <c r="DM45" s="51"/>
      <c r="DN45" s="51"/>
      <c r="DO45" s="51"/>
      <c r="DP45" s="51"/>
      <c r="DQ45" s="51"/>
      <c r="DR45" s="51"/>
      <c r="DS45" s="51"/>
      <c r="DT45" s="51"/>
      <c r="DU45" s="51"/>
      <c r="DV45" s="51"/>
      <c r="DW45" s="51"/>
      <c r="DX45" s="51"/>
      <c r="DY45" s="51"/>
      <c r="DZ45" s="51"/>
      <c r="EA45" s="51"/>
    </row>
    <row r="46" spans="1:131">
      <c r="A46" s="39"/>
      <c r="B46" s="61"/>
      <c r="C46" s="61"/>
      <c r="D46" s="69">
        <f t="shared" si="0"/>
        <v>0</v>
      </c>
      <c r="E46" s="74">
        <f t="shared" si="1"/>
        <v>0</v>
      </c>
      <c r="F46" s="6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4"/>
      <c r="DF46" s="44"/>
      <c r="DG46" s="44"/>
      <c r="DH46" s="44"/>
      <c r="DI46" s="44"/>
      <c r="DJ46" s="44"/>
      <c r="DK46" s="44"/>
      <c r="DL46" s="44"/>
      <c r="DM46" s="44"/>
      <c r="DN46" s="44"/>
      <c r="DO46" s="44"/>
      <c r="DP46" s="44"/>
      <c r="DQ46" s="44"/>
      <c r="DR46" s="44"/>
      <c r="DS46" s="44"/>
      <c r="DT46" s="44"/>
      <c r="DU46" s="44"/>
      <c r="DV46" s="44"/>
      <c r="DW46" s="44"/>
      <c r="DX46" s="44"/>
      <c r="DY46" s="44"/>
      <c r="DZ46" s="44"/>
      <c r="EA46" s="44"/>
    </row>
    <row r="47" spans="1:131">
      <c r="A47" s="54"/>
      <c r="B47" s="55"/>
      <c r="C47" s="55"/>
      <c r="D47" s="68">
        <f t="shared" si="0"/>
        <v>0</v>
      </c>
      <c r="E47" s="70">
        <f t="shared" si="1"/>
        <v>0</v>
      </c>
      <c r="F47" s="63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  <c r="BG47" s="51"/>
      <c r="BH47" s="51"/>
      <c r="BI47" s="51"/>
      <c r="BJ47" s="51"/>
      <c r="BK47" s="51"/>
      <c r="BL47" s="51"/>
      <c r="BM47" s="51"/>
      <c r="BN47" s="51"/>
      <c r="BO47" s="51"/>
      <c r="BP47" s="51"/>
      <c r="BQ47" s="51"/>
      <c r="BR47" s="51"/>
      <c r="BS47" s="51"/>
      <c r="BT47" s="51"/>
      <c r="BU47" s="51"/>
      <c r="BV47" s="51"/>
      <c r="BW47" s="51"/>
      <c r="BX47" s="51"/>
      <c r="BY47" s="51"/>
      <c r="BZ47" s="51"/>
      <c r="CA47" s="51"/>
      <c r="CB47" s="51"/>
      <c r="CC47" s="51"/>
      <c r="CD47" s="51"/>
      <c r="CE47" s="51"/>
      <c r="CF47" s="51"/>
      <c r="CG47" s="51"/>
      <c r="CH47" s="51"/>
      <c r="CI47" s="51"/>
      <c r="CJ47" s="51"/>
      <c r="CK47" s="51"/>
      <c r="CL47" s="51"/>
      <c r="CM47" s="51"/>
      <c r="CN47" s="51"/>
      <c r="CO47" s="51"/>
      <c r="CP47" s="51"/>
      <c r="CQ47" s="51"/>
      <c r="CR47" s="51"/>
      <c r="CS47" s="51"/>
      <c r="CT47" s="51"/>
      <c r="CU47" s="51"/>
      <c r="CV47" s="51"/>
      <c r="CW47" s="51"/>
      <c r="CX47" s="51"/>
      <c r="CY47" s="51"/>
      <c r="CZ47" s="51"/>
      <c r="DA47" s="51"/>
      <c r="DB47" s="51"/>
      <c r="DC47" s="51"/>
      <c r="DD47" s="51"/>
      <c r="DE47" s="51"/>
      <c r="DF47" s="51"/>
      <c r="DG47" s="51"/>
      <c r="DH47" s="51"/>
      <c r="DI47" s="51"/>
      <c r="DJ47" s="51"/>
      <c r="DK47" s="51"/>
      <c r="DL47" s="51"/>
      <c r="DM47" s="51"/>
      <c r="DN47" s="51"/>
      <c r="DO47" s="51"/>
      <c r="DP47" s="51"/>
      <c r="DQ47" s="51"/>
      <c r="DR47" s="51"/>
      <c r="DS47" s="51"/>
      <c r="DT47" s="51"/>
      <c r="DU47" s="51"/>
      <c r="DV47" s="51"/>
      <c r="DW47" s="51"/>
      <c r="DX47" s="51"/>
      <c r="DY47" s="51"/>
      <c r="DZ47" s="51"/>
      <c r="EA47" s="51"/>
    </row>
    <row r="48" spans="1:131">
      <c r="A48" s="39"/>
      <c r="B48" s="61"/>
      <c r="C48" s="61"/>
      <c r="D48" s="69">
        <f t="shared" si="0"/>
        <v>0</v>
      </c>
      <c r="E48" s="74">
        <f t="shared" si="1"/>
        <v>0</v>
      </c>
      <c r="F48" s="6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  <c r="CX48" s="44"/>
      <c r="CY48" s="44"/>
      <c r="CZ48" s="44"/>
      <c r="DA48" s="44"/>
      <c r="DB48" s="44"/>
      <c r="DC48" s="44"/>
      <c r="DD48" s="44"/>
      <c r="DE48" s="44"/>
      <c r="DF48" s="44"/>
      <c r="DG48" s="44"/>
      <c r="DH48" s="44"/>
      <c r="DI48" s="44"/>
      <c r="DJ48" s="44"/>
      <c r="DK48" s="44"/>
      <c r="DL48" s="44"/>
      <c r="DM48" s="44"/>
      <c r="DN48" s="44"/>
      <c r="DO48" s="44"/>
      <c r="DP48" s="44"/>
      <c r="DQ48" s="44"/>
      <c r="DR48" s="44"/>
      <c r="DS48" s="44"/>
      <c r="DT48" s="44"/>
      <c r="DU48" s="44"/>
      <c r="DV48" s="44"/>
      <c r="DW48" s="44"/>
      <c r="DX48" s="44"/>
      <c r="DY48" s="44"/>
      <c r="DZ48" s="44"/>
      <c r="EA48" s="44"/>
    </row>
    <row r="49" spans="1:131">
      <c r="A49" s="54"/>
      <c r="B49" s="55"/>
      <c r="C49" s="55"/>
      <c r="D49" s="68">
        <f t="shared" si="0"/>
        <v>0</v>
      </c>
      <c r="E49" s="70">
        <f t="shared" si="1"/>
        <v>0</v>
      </c>
      <c r="F49" s="63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1"/>
      <c r="BE49" s="51"/>
      <c r="BF49" s="51"/>
      <c r="BG49" s="51"/>
      <c r="BH49" s="51"/>
      <c r="BI49" s="51"/>
      <c r="BJ49" s="51"/>
      <c r="BK49" s="51"/>
      <c r="BL49" s="51"/>
      <c r="BM49" s="51"/>
      <c r="BN49" s="51"/>
      <c r="BO49" s="51"/>
      <c r="BP49" s="51"/>
      <c r="BQ49" s="51"/>
      <c r="BR49" s="51"/>
      <c r="BS49" s="51"/>
      <c r="BT49" s="51"/>
      <c r="BU49" s="51"/>
      <c r="BV49" s="51"/>
      <c r="BW49" s="51"/>
      <c r="BX49" s="51"/>
      <c r="BY49" s="51"/>
      <c r="BZ49" s="51"/>
      <c r="CA49" s="51"/>
      <c r="CB49" s="51"/>
      <c r="CC49" s="51"/>
      <c r="CD49" s="51"/>
      <c r="CE49" s="51"/>
      <c r="CF49" s="51"/>
      <c r="CG49" s="51"/>
      <c r="CH49" s="51"/>
      <c r="CI49" s="51"/>
      <c r="CJ49" s="51"/>
      <c r="CK49" s="51"/>
      <c r="CL49" s="51"/>
      <c r="CM49" s="51"/>
      <c r="CN49" s="51"/>
      <c r="CO49" s="51"/>
      <c r="CP49" s="51"/>
      <c r="CQ49" s="51"/>
      <c r="CR49" s="51"/>
      <c r="CS49" s="51"/>
      <c r="CT49" s="51"/>
      <c r="CU49" s="51"/>
      <c r="CV49" s="51"/>
      <c r="CW49" s="51"/>
      <c r="CX49" s="51"/>
      <c r="CY49" s="51"/>
      <c r="CZ49" s="51"/>
      <c r="DA49" s="51"/>
      <c r="DB49" s="51"/>
      <c r="DC49" s="51"/>
      <c r="DD49" s="51"/>
      <c r="DE49" s="51"/>
      <c r="DF49" s="51"/>
      <c r="DG49" s="51"/>
      <c r="DH49" s="51"/>
      <c r="DI49" s="51"/>
      <c r="DJ49" s="51"/>
      <c r="DK49" s="51"/>
      <c r="DL49" s="51"/>
      <c r="DM49" s="51"/>
      <c r="DN49" s="51"/>
      <c r="DO49" s="51"/>
      <c r="DP49" s="51"/>
      <c r="DQ49" s="51"/>
      <c r="DR49" s="51"/>
      <c r="DS49" s="51"/>
      <c r="DT49" s="51"/>
      <c r="DU49" s="51"/>
      <c r="DV49" s="51"/>
      <c r="DW49" s="51"/>
      <c r="DX49" s="51"/>
      <c r="DY49" s="51"/>
      <c r="DZ49" s="51"/>
      <c r="EA49" s="51"/>
    </row>
    <row r="50" spans="1:131">
      <c r="A50" s="39"/>
      <c r="B50" s="61"/>
      <c r="C50" s="61"/>
      <c r="D50" s="69">
        <f t="shared" si="0"/>
        <v>0</v>
      </c>
      <c r="E50" s="74">
        <f t="shared" si="1"/>
        <v>0</v>
      </c>
      <c r="F50" s="6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/>
      <c r="DE50" s="44"/>
      <c r="DF50" s="44"/>
      <c r="DG50" s="44"/>
      <c r="DH50" s="44"/>
      <c r="DI50" s="44"/>
      <c r="DJ50" s="44"/>
      <c r="DK50" s="44"/>
      <c r="DL50" s="44"/>
      <c r="DM50" s="44"/>
      <c r="DN50" s="44"/>
      <c r="DO50" s="44"/>
      <c r="DP50" s="44"/>
      <c r="DQ50" s="44"/>
      <c r="DR50" s="44"/>
      <c r="DS50" s="44"/>
      <c r="DT50" s="44"/>
      <c r="DU50" s="44"/>
      <c r="DV50" s="44"/>
      <c r="DW50" s="44"/>
      <c r="DX50" s="44"/>
      <c r="DY50" s="44"/>
      <c r="DZ50" s="44"/>
      <c r="EA50" s="44"/>
    </row>
    <row r="51" spans="1:131">
      <c r="A51" s="54"/>
      <c r="B51" s="55"/>
      <c r="C51" s="55"/>
      <c r="D51" s="68">
        <f t="shared" si="0"/>
        <v>0</v>
      </c>
      <c r="E51" s="70">
        <f t="shared" si="1"/>
        <v>0</v>
      </c>
      <c r="F51" s="63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1"/>
      <c r="BE51" s="51"/>
      <c r="BF51" s="51"/>
      <c r="BG51" s="51"/>
      <c r="BH51" s="51"/>
      <c r="BI51" s="51"/>
      <c r="BJ51" s="51"/>
      <c r="BK51" s="51"/>
      <c r="BL51" s="51"/>
      <c r="BM51" s="51"/>
      <c r="BN51" s="51"/>
      <c r="BO51" s="51"/>
      <c r="BP51" s="51"/>
      <c r="BQ51" s="51"/>
      <c r="BR51" s="51"/>
      <c r="BS51" s="51"/>
      <c r="BT51" s="51"/>
      <c r="BU51" s="51"/>
      <c r="BV51" s="51"/>
      <c r="BW51" s="51"/>
      <c r="BX51" s="51"/>
      <c r="BY51" s="51"/>
      <c r="BZ51" s="51"/>
      <c r="CA51" s="51"/>
      <c r="CB51" s="51"/>
      <c r="CC51" s="51"/>
      <c r="CD51" s="51"/>
      <c r="CE51" s="51"/>
      <c r="CF51" s="51"/>
      <c r="CG51" s="51"/>
      <c r="CH51" s="51"/>
      <c r="CI51" s="51"/>
      <c r="CJ51" s="51"/>
      <c r="CK51" s="51"/>
      <c r="CL51" s="51"/>
      <c r="CM51" s="51"/>
      <c r="CN51" s="51"/>
      <c r="CO51" s="51"/>
      <c r="CP51" s="51"/>
      <c r="CQ51" s="51"/>
      <c r="CR51" s="51"/>
      <c r="CS51" s="51"/>
      <c r="CT51" s="51"/>
      <c r="CU51" s="51"/>
      <c r="CV51" s="51"/>
      <c r="CW51" s="51"/>
      <c r="CX51" s="51"/>
      <c r="CY51" s="51"/>
      <c r="CZ51" s="51"/>
      <c r="DA51" s="51"/>
      <c r="DB51" s="51"/>
      <c r="DC51" s="51"/>
      <c r="DD51" s="51"/>
      <c r="DE51" s="51"/>
      <c r="DF51" s="51"/>
      <c r="DG51" s="51"/>
      <c r="DH51" s="51"/>
      <c r="DI51" s="51"/>
      <c r="DJ51" s="51"/>
      <c r="DK51" s="51"/>
      <c r="DL51" s="51"/>
      <c r="DM51" s="51"/>
      <c r="DN51" s="51"/>
      <c r="DO51" s="51"/>
      <c r="DP51" s="51"/>
      <c r="DQ51" s="51"/>
      <c r="DR51" s="51"/>
      <c r="DS51" s="51"/>
      <c r="DT51" s="51"/>
      <c r="DU51" s="51"/>
      <c r="DV51" s="51"/>
      <c r="DW51" s="51"/>
      <c r="DX51" s="51"/>
      <c r="DY51" s="51"/>
      <c r="DZ51" s="51"/>
      <c r="EA51" s="51"/>
    </row>
    <row r="52" spans="1:131">
      <c r="A52" s="39"/>
      <c r="B52" s="61"/>
      <c r="C52" s="61"/>
      <c r="D52" s="69">
        <f t="shared" si="0"/>
        <v>0</v>
      </c>
      <c r="E52" s="74">
        <f t="shared" si="1"/>
        <v>0</v>
      </c>
      <c r="F52" s="6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  <c r="CX52" s="44"/>
      <c r="CY52" s="44"/>
      <c r="CZ52" s="44"/>
      <c r="DA52" s="44"/>
      <c r="DB52" s="44"/>
      <c r="DC52" s="44"/>
      <c r="DD52" s="44"/>
      <c r="DE52" s="44"/>
      <c r="DF52" s="44"/>
      <c r="DG52" s="44"/>
      <c r="DH52" s="44"/>
      <c r="DI52" s="44"/>
      <c r="DJ52" s="44"/>
      <c r="DK52" s="44"/>
      <c r="DL52" s="44"/>
      <c r="DM52" s="44"/>
      <c r="DN52" s="44"/>
      <c r="DO52" s="44"/>
      <c r="DP52" s="44"/>
      <c r="DQ52" s="44"/>
      <c r="DR52" s="44"/>
      <c r="DS52" s="44"/>
      <c r="DT52" s="44"/>
      <c r="DU52" s="44"/>
      <c r="DV52" s="44"/>
      <c r="DW52" s="44"/>
      <c r="DX52" s="44"/>
      <c r="DY52" s="44"/>
      <c r="DZ52" s="44"/>
      <c r="EA52" s="44"/>
    </row>
    <row r="53" spans="1:131">
      <c r="A53" s="54"/>
      <c r="B53" s="55"/>
      <c r="C53" s="55"/>
      <c r="D53" s="68">
        <f t="shared" si="0"/>
        <v>0</v>
      </c>
      <c r="E53" s="70">
        <f t="shared" si="1"/>
        <v>0</v>
      </c>
      <c r="F53" s="63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  <c r="CL53" s="51"/>
      <c r="CM53" s="51"/>
      <c r="CN53" s="51"/>
      <c r="CO53" s="51"/>
      <c r="CP53" s="51"/>
      <c r="CQ53" s="51"/>
      <c r="CR53" s="51"/>
      <c r="CS53" s="51"/>
      <c r="CT53" s="51"/>
      <c r="CU53" s="51"/>
      <c r="CV53" s="51"/>
      <c r="CW53" s="51"/>
      <c r="CX53" s="51"/>
      <c r="CY53" s="51"/>
      <c r="CZ53" s="51"/>
      <c r="DA53" s="51"/>
      <c r="DB53" s="51"/>
      <c r="DC53" s="51"/>
      <c r="DD53" s="51"/>
      <c r="DE53" s="51"/>
      <c r="DF53" s="51"/>
      <c r="DG53" s="51"/>
      <c r="DH53" s="51"/>
      <c r="DI53" s="51"/>
      <c r="DJ53" s="51"/>
      <c r="DK53" s="51"/>
      <c r="DL53" s="51"/>
      <c r="DM53" s="51"/>
      <c r="DN53" s="51"/>
      <c r="DO53" s="51"/>
      <c r="DP53" s="51"/>
      <c r="DQ53" s="51"/>
      <c r="DR53" s="51"/>
      <c r="DS53" s="51"/>
      <c r="DT53" s="51"/>
      <c r="DU53" s="51"/>
      <c r="DV53" s="51"/>
      <c r="DW53" s="51"/>
      <c r="DX53" s="51"/>
      <c r="DY53" s="51"/>
      <c r="DZ53" s="51"/>
      <c r="EA53" s="51"/>
    </row>
    <row r="54" spans="1:131">
      <c r="A54" s="39"/>
      <c r="B54" s="61"/>
      <c r="C54" s="61"/>
      <c r="D54" s="69">
        <f t="shared" si="0"/>
        <v>0</v>
      </c>
      <c r="E54" s="74">
        <f t="shared" si="1"/>
        <v>0</v>
      </c>
      <c r="F54" s="6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  <c r="CX54" s="44"/>
      <c r="CY54" s="44"/>
      <c r="CZ54" s="44"/>
      <c r="DA54" s="44"/>
      <c r="DB54" s="44"/>
      <c r="DC54" s="44"/>
      <c r="DD54" s="44"/>
      <c r="DE54" s="44"/>
      <c r="DF54" s="44"/>
      <c r="DG54" s="44"/>
      <c r="DH54" s="44"/>
      <c r="DI54" s="44"/>
      <c r="DJ54" s="44"/>
      <c r="DK54" s="44"/>
      <c r="DL54" s="44"/>
      <c r="DM54" s="44"/>
      <c r="DN54" s="44"/>
      <c r="DO54" s="44"/>
      <c r="DP54" s="44"/>
      <c r="DQ54" s="44"/>
      <c r="DR54" s="44"/>
      <c r="DS54" s="44"/>
      <c r="DT54" s="44"/>
      <c r="DU54" s="44"/>
      <c r="DV54" s="44"/>
      <c r="DW54" s="44"/>
      <c r="DX54" s="44"/>
      <c r="DY54" s="44"/>
      <c r="DZ54" s="44"/>
      <c r="EA54" s="44"/>
    </row>
    <row r="55" spans="1:131">
      <c r="A55" s="54"/>
      <c r="B55" s="55"/>
      <c r="C55" s="55"/>
      <c r="D55" s="68">
        <f t="shared" si="0"/>
        <v>0</v>
      </c>
      <c r="E55" s="70">
        <f t="shared" si="1"/>
        <v>0</v>
      </c>
      <c r="F55" s="63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  <c r="CL55" s="51"/>
      <c r="CM55" s="51"/>
      <c r="CN55" s="51"/>
      <c r="CO55" s="51"/>
      <c r="CP55" s="51"/>
      <c r="CQ55" s="51"/>
      <c r="CR55" s="51"/>
      <c r="CS55" s="51"/>
      <c r="CT55" s="51"/>
      <c r="CU55" s="51"/>
      <c r="CV55" s="51"/>
      <c r="CW55" s="51"/>
      <c r="CX55" s="51"/>
      <c r="CY55" s="51"/>
      <c r="CZ55" s="51"/>
      <c r="DA55" s="51"/>
      <c r="DB55" s="51"/>
      <c r="DC55" s="51"/>
      <c r="DD55" s="51"/>
      <c r="DE55" s="51"/>
      <c r="DF55" s="51"/>
      <c r="DG55" s="51"/>
      <c r="DH55" s="51"/>
      <c r="DI55" s="51"/>
      <c r="DJ55" s="51"/>
      <c r="DK55" s="51"/>
      <c r="DL55" s="51"/>
      <c r="DM55" s="51"/>
      <c r="DN55" s="51"/>
      <c r="DO55" s="51"/>
      <c r="DP55" s="51"/>
      <c r="DQ55" s="51"/>
      <c r="DR55" s="51"/>
      <c r="DS55" s="51"/>
      <c r="DT55" s="51"/>
      <c r="DU55" s="51"/>
      <c r="DV55" s="51"/>
      <c r="DW55" s="51"/>
      <c r="DX55" s="51"/>
      <c r="DY55" s="51"/>
      <c r="DZ55" s="51"/>
      <c r="EA55" s="51"/>
    </row>
    <row r="56" spans="1:131">
      <c r="A56" s="39"/>
      <c r="B56" s="61"/>
      <c r="C56" s="61"/>
      <c r="D56" s="69">
        <f t="shared" si="0"/>
        <v>0</v>
      </c>
      <c r="E56" s="74">
        <f t="shared" si="1"/>
        <v>0</v>
      </c>
      <c r="F56" s="6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  <c r="CX56" s="44"/>
      <c r="CY56" s="44"/>
      <c r="CZ56" s="44"/>
      <c r="DA56" s="44"/>
      <c r="DB56" s="44"/>
      <c r="DC56" s="44"/>
      <c r="DD56" s="44"/>
      <c r="DE56" s="44"/>
      <c r="DF56" s="44"/>
      <c r="DG56" s="44"/>
      <c r="DH56" s="44"/>
      <c r="DI56" s="44"/>
      <c r="DJ56" s="44"/>
      <c r="DK56" s="44"/>
      <c r="DL56" s="44"/>
      <c r="DM56" s="44"/>
      <c r="DN56" s="44"/>
      <c r="DO56" s="44"/>
      <c r="DP56" s="44"/>
      <c r="DQ56" s="44"/>
      <c r="DR56" s="44"/>
      <c r="DS56" s="44"/>
      <c r="DT56" s="44"/>
      <c r="DU56" s="44"/>
      <c r="DV56" s="44"/>
      <c r="DW56" s="44"/>
      <c r="DX56" s="44"/>
      <c r="DY56" s="44"/>
      <c r="DZ56" s="44"/>
      <c r="EA56" s="44"/>
    </row>
    <row r="57" spans="1:131">
      <c r="A57" s="54"/>
      <c r="B57" s="55"/>
      <c r="C57" s="55"/>
      <c r="D57" s="68">
        <f t="shared" si="0"/>
        <v>0</v>
      </c>
      <c r="E57" s="70">
        <f t="shared" si="1"/>
        <v>0</v>
      </c>
      <c r="F57" s="63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  <c r="BC57" s="51"/>
      <c r="BD57" s="51"/>
      <c r="BE57" s="51"/>
      <c r="BF57" s="51"/>
      <c r="BG57" s="51"/>
      <c r="BH57" s="51"/>
      <c r="BI57" s="51"/>
      <c r="BJ57" s="51"/>
      <c r="BK57" s="51"/>
      <c r="BL57" s="51"/>
      <c r="BM57" s="51"/>
      <c r="BN57" s="51"/>
      <c r="BO57" s="51"/>
      <c r="BP57" s="51"/>
      <c r="BQ57" s="51"/>
      <c r="BR57" s="51"/>
      <c r="BS57" s="51"/>
      <c r="BT57" s="51"/>
      <c r="BU57" s="51"/>
      <c r="BV57" s="51"/>
      <c r="BW57" s="51"/>
      <c r="BX57" s="51"/>
      <c r="BY57" s="51"/>
      <c r="BZ57" s="51"/>
      <c r="CA57" s="51"/>
      <c r="CB57" s="51"/>
      <c r="CC57" s="51"/>
      <c r="CD57" s="51"/>
      <c r="CE57" s="51"/>
      <c r="CF57" s="51"/>
      <c r="CG57" s="51"/>
      <c r="CH57" s="51"/>
      <c r="CI57" s="51"/>
      <c r="CJ57" s="51"/>
      <c r="CK57" s="51"/>
      <c r="CL57" s="51"/>
      <c r="CM57" s="51"/>
      <c r="CN57" s="51"/>
      <c r="CO57" s="51"/>
      <c r="CP57" s="51"/>
      <c r="CQ57" s="51"/>
      <c r="CR57" s="51"/>
      <c r="CS57" s="51"/>
      <c r="CT57" s="51"/>
      <c r="CU57" s="51"/>
      <c r="CV57" s="51"/>
      <c r="CW57" s="51"/>
      <c r="CX57" s="51"/>
      <c r="CY57" s="51"/>
      <c r="CZ57" s="51"/>
      <c r="DA57" s="51"/>
      <c r="DB57" s="51"/>
      <c r="DC57" s="51"/>
      <c r="DD57" s="51"/>
      <c r="DE57" s="51"/>
      <c r="DF57" s="51"/>
      <c r="DG57" s="51"/>
      <c r="DH57" s="51"/>
      <c r="DI57" s="51"/>
      <c r="DJ57" s="51"/>
      <c r="DK57" s="51"/>
      <c r="DL57" s="51"/>
      <c r="DM57" s="51"/>
      <c r="DN57" s="51"/>
      <c r="DO57" s="51"/>
      <c r="DP57" s="51"/>
      <c r="DQ57" s="51"/>
      <c r="DR57" s="51"/>
      <c r="DS57" s="51"/>
      <c r="DT57" s="51"/>
      <c r="DU57" s="51"/>
      <c r="DV57" s="51"/>
      <c r="DW57" s="51"/>
      <c r="DX57" s="51"/>
      <c r="DY57" s="51"/>
      <c r="DZ57" s="51"/>
      <c r="EA57" s="51"/>
    </row>
    <row r="58" spans="1:131">
      <c r="A58" s="39"/>
      <c r="B58" s="61"/>
      <c r="C58" s="61"/>
      <c r="D58" s="69">
        <f t="shared" si="0"/>
        <v>0</v>
      </c>
      <c r="E58" s="74">
        <f t="shared" si="1"/>
        <v>0</v>
      </c>
      <c r="F58" s="6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  <c r="CX58" s="44"/>
      <c r="CY58" s="44"/>
      <c r="CZ58" s="44"/>
      <c r="DA58" s="44"/>
      <c r="DB58" s="44"/>
      <c r="DC58" s="44"/>
      <c r="DD58" s="44"/>
      <c r="DE58" s="44"/>
      <c r="DF58" s="44"/>
      <c r="DG58" s="44"/>
      <c r="DH58" s="44"/>
      <c r="DI58" s="44"/>
      <c r="DJ58" s="44"/>
      <c r="DK58" s="44"/>
      <c r="DL58" s="44"/>
      <c r="DM58" s="44"/>
      <c r="DN58" s="44"/>
      <c r="DO58" s="44"/>
      <c r="DP58" s="44"/>
      <c r="DQ58" s="44"/>
      <c r="DR58" s="44"/>
      <c r="DS58" s="44"/>
      <c r="DT58" s="44"/>
      <c r="DU58" s="44"/>
      <c r="DV58" s="44"/>
      <c r="DW58" s="44"/>
      <c r="DX58" s="44"/>
      <c r="DY58" s="44"/>
      <c r="DZ58" s="44"/>
      <c r="EA58" s="44"/>
    </row>
    <row r="59" spans="1:131">
      <c r="A59" s="49"/>
      <c r="B59" s="62"/>
      <c r="C59" s="62"/>
      <c r="D59" s="68">
        <f t="shared" si="0"/>
        <v>0</v>
      </c>
      <c r="E59" s="70">
        <f t="shared" si="1"/>
        <v>0</v>
      </c>
      <c r="F59" s="63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  <c r="AX59" s="51"/>
      <c r="AY59" s="51"/>
      <c r="AZ59" s="51"/>
      <c r="BA59" s="51"/>
      <c r="BB59" s="51"/>
      <c r="BC59" s="51"/>
      <c r="BD59" s="51"/>
      <c r="BE59" s="51"/>
      <c r="BF59" s="51"/>
      <c r="BG59" s="51"/>
      <c r="BH59" s="51"/>
      <c r="BI59" s="51"/>
      <c r="BJ59" s="51"/>
      <c r="BK59" s="51"/>
      <c r="BL59" s="51"/>
      <c r="BM59" s="51"/>
      <c r="BN59" s="51"/>
      <c r="BO59" s="51"/>
      <c r="BP59" s="51"/>
      <c r="BQ59" s="51"/>
      <c r="BR59" s="51"/>
      <c r="BS59" s="51"/>
      <c r="BT59" s="51"/>
      <c r="BU59" s="51"/>
      <c r="BV59" s="51"/>
      <c r="BW59" s="51"/>
      <c r="BX59" s="51"/>
      <c r="BY59" s="51"/>
      <c r="BZ59" s="51"/>
      <c r="CA59" s="51"/>
      <c r="CB59" s="51"/>
      <c r="CC59" s="51"/>
      <c r="CD59" s="51"/>
      <c r="CE59" s="51"/>
      <c r="CF59" s="51"/>
      <c r="CG59" s="51"/>
      <c r="CH59" s="51"/>
      <c r="CI59" s="51"/>
      <c r="CJ59" s="51"/>
      <c r="CK59" s="51"/>
      <c r="CL59" s="51"/>
      <c r="CM59" s="51"/>
      <c r="CN59" s="51"/>
      <c r="CO59" s="51"/>
      <c r="CP59" s="51"/>
      <c r="CQ59" s="51"/>
      <c r="CR59" s="51"/>
      <c r="CS59" s="51"/>
      <c r="CT59" s="51"/>
      <c r="CU59" s="51"/>
      <c r="CV59" s="51"/>
      <c r="CW59" s="51"/>
      <c r="CX59" s="51"/>
      <c r="CY59" s="51"/>
      <c r="CZ59" s="51"/>
      <c r="DA59" s="51"/>
      <c r="DB59" s="51"/>
      <c r="DC59" s="51"/>
      <c r="DD59" s="51"/>
      <c r="DE59" s="51"/>
      <c r="DF59" s="51"/>
      <c r="DG59" s="51"/>
      <c r="DH59" s="51"/>
      <c r="DI59" s="51"/>
      <c r="DJ59" s="51"/>
      <c r="DK59" s="51"/>
      <c r="DL59" s="51"/>
      <c r="DM59" s="51"/>
      <c r="DN59" s="51"/>
      <c r="DO59" s="51"/>
      <c r="DP59" s="51"/>
      <c r="DQ59" s="51"/>
      <c r="DR59" s="51"/>
      <c r="DS59" s="51"/>
      <c r="DT59" s="51"/>
      <c r="DU59" s="51"/>
      <c r="DV59" s="51"/>
      <c r="DW59" s="51"/>
      <c r="DX59" s="51"/>
      <c r="DY59" s="51"/>
      <c r="DZ59" s="51"/>
      <c r="EA59" s="51"/>
    </row>
    <row r="60" spans="1:131">
      <c r="A60" s="39"/>
      <c r="B60" s="61"/>
      <c r="C60" s="61"/>
      <c r="D60" s="69">
        <f t="shared" si="0"/>
        <v>0</v>
      </c>
      <c r="E60" s="74">
        <f t="shared" si="1"/>
        <v>0</v>
      </c>
      <c r="F60" s="6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  <c r="CX60" s="44"/>
      <c r="CY60" s="44"/>
      <c r="CZ60" s="44"/>
      <c r="DA60" s="44"/>
      <c r="DB60" s="44"/>
      <c r="DC60" s="44"/>
      <c r="DD60" s="44"/>
      <c r="DE60" s="44"/>
      <c r="DF60" s="44"/>
      <c r="DG60" s="44"/>
      <c r="DH60" s="44"/>
      <c r="DI60" s="44"/>
      <c r="DJ60" s="44"/>
      <c r="DK60" s="44"/>
      <c r="DL60" s="44"/>
      <c r="DM60" s="44"/>
      <c r="DN60" s="44"/>
      <c r="DO60" s="44"/>
      <c r="DP60" s="44"/>
      <c r="DQ60" s="44"/>
      <c r="DR60" s="44"/>
      <c r="DS60" s="44"/>
      <c r="DT60" s="44"/>
      <c r="DU60" s="44"/>
      <c r="DV60" s="44"/>
      <c r="DW60" s="44"/>
      <c r="DX60" s="44"/>
      <c r="DY60" s="44"/>
      <c r="DZ60" s="44"/>
      <c r="EA60" s="44"/>
    </row>
    <row r="61" spans="1:131">
      <c r="A61" s="54"/>
      <c r="B61" s="55"/>
      <c r="C61" s="55"/>
      <c r="D61" s="68">
        <f t="shared" si="0"/>
        <v>0</v>
      </c>
      <c r="E61" s="70">
        <f t="shared" si="1"/>
        <v>0</v>
      </c>
      <c r="F61" s="63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  <c r="BC61" s="51"/>
      <c r="BD61" s="51"/>
      <c r="BE61" s="51"/>
      <c r="BF61" s="51"/>
      <c r="BG61" s="51"/>
      <c r="BH61" s="51"/>
      <c r="BI61" s="51"/>
      <c r="BJ61" s="51"/>
      <c r="BK61" s="51"/>
      <c r="BL61" s="51"/>
      <c r="BM61" s="51"/>
      <c r="BN61" s="51"/>
      <c r="BO61" s="51"/>
      <c r="BP61" s="51"/>
      <c r="BQ61" s="51"/>
      <c r="BR61" s="51"/>
      <c r="BS61" s="51"/>
      <c r="BT61" s="51"/>
      <c r="BU61" s="51"/>
      <c r="BV61" s="51"/>
      <c r="BW61" s="51"/>
      <c r="BX61" s="51"/>
      <c r="BY61" s="51"/>
      <c r="BZ61" s="51"/>
      <c r="CA61" s="51"/>
      <c r="CB61" s="51"/>
      <c r="CC61" s="51"/>
      <c r="CD61" s="51"/>
      <c r="CE61" s="51"/>
      <c r="CF61" s="51"/>
      <c r="CG61" s="51"/>
      <c r="CH61" s="51"/>
      <c r="CI61" s="51"/>
      <c r="CJ61" s="51"/>
      <c r="CK61" s="51"/>
      <c r="CL61" s="51"/>
      <c r="CM61" s="51"/>
      <c r="CN61" s="51"/>
      <c r="CO61" s="51"/>
      <c r="CP61" s="51"/>
      <c r="CQ61" s="51"/>
      <c r="CR61" s="51"/>
      <c r="CS61" s="51"/>
      <c r="CT61" s="51"/>
      <c r="CU61" s="51"/>
      <c r="CV61" s="51"/>
      <c r="CW61" s="51"/>
      <c r="CX61" s="51"/>
      <c r="CY61" s="51"/>
      <c r="CZ61" s="51"/>
      <c r="DA61" s="51"/>
      <c r="DB61" s="51"/>
      <c r="DC61" s="51"/>
      <c r="DD61" s="51"/>
      <c r="DE61" s="51"/>
      <c r="DF61" s="51"/>
      <c r="DG61" s="51"/>
      <c r="DH61" s="51"/>
      <c r="DI61" s="51"/>
      <c r="DJ61" s="51"/>
      <c r="DK61" s="51"/>
      <c r="DL61" s="51"/>
      <c r="DM61" s="51"/>
      <c r="DN61" s="51"/>
      <c r="DO61" s="51"/>
      <c r="DP61" s="51"/>
      <c r="DQ61" s="51"/>
      <c r="DR61" s="51"/>
      <c r="DS61" s="51"/>
      <c r="DT61" s="51"/>
      <c r="DU61" s="51"/>
      <c r="DV61" s="51"/>
      <c r="DW61" s="51"/>
      <c r="DX61" s="51"/>
      <c r="DY61" s="51"/>
      <c r="DZ61" s="51"/>
      <c r="EA61" s="51"/>
    </row>
    <row r="62" spans="1:131">
      <c r="A62" s="39"/>
      <c r="B62" s="61"/>
      <c r="C62" s="61"/>
      <c r="D62" s="69">
        <f t="shared" si="0"/>
        <v>0</v>
      </c>
      <c r="E62" s="74">
        <f t="shared" si="1"/>
        <v>0</v>
      </c>
      <c r="F62" s="6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  <c r="CX62" s="44"/>
      <c r="CY62" s="44"/>
      <c r="CZ62" s="44"/>
      <c r="DA62" s="44"/>
      <c r="DB62" s="44"/>
      <c r="DC62" s="44"/>
      <c r="DD62" s="44"/>
      <c r="DE62" s="44"/>
      <c r="DF62" s="44"/>
      <c r="DG62" s="44"/>
      <c r="DH62" s="44"/>
      <c r="DI62" s="44"/>
      <c r="DJ62" s="44"/>
      <c r="DK62" s="44"/>
      <c r="DL62" s="44"/>
      <c r="DM62" s="44"/>
      <c r="DN62" s="44"/>
      <c r="DO62" s="44"/>
      <c r="DP62" s="44"/>
      <c r="DQ62" s="44"/>
      <c r="DR62" s="44"/>
      <c r="DS62" s="44"/>
      <c r="DT62" s="44"/>
      <c r="DU62" s="44"/>
      <c r="DV62" s="44"/>
      <c r="DW62" s="44"/>
      <c r="DX62" s="44"/>
      <c r="DY62" s="44"/>
      <c r="DZ62" s="44"/>
      <c r="EA62" s="44"/>
    </row>
    <row r="63" spans="1:131">
      <c r="A63" s="54"/>
      <c r="B63" s="55"/>
      <c r="C63" s="55"/>
      <c r="D63" s="68">
        <f t="shared" si="0"/>
        <v>0</v>
      </c>
      <c r="E63" s="70">
        <f t="shared" si="1"/>
        <v>0</v>
      </c>
      <c r="F63" s="63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51"/>
      <c r="BK63" s="51"/>
      <c r="BL63" s="51"/>
      <c r="BM63" s="51"/>
      <c r="BN63" s="51"/>
      <c r="BO63" s="51"/>
      <c r="BP63" s="51"/>
      <c r="BQ63" s="51"/>
      <c r="BR63" s="51"/>
      <c r="BS63" s="51"/>
      <c r="BT63" s="51"/>
      <c r="BU63" s="51"/>
      <c r="BV63" s="51"/>
      <c r="BW63" s="51"/>
      <c r="BX63" s="51"/>
      <c r="BY63" s="51"/>
      <c r="BZ63" s="51"/>
      <c r="CA63" s="51"/>
      <c r="CB63" s="51"/>
      <c r="CC63" s="51"/>
      <c r="CD63" s="51"/>
      <c r="CE63" s="51"/>
      <c r="CF63" s="51"/>
      <c r="CG63" s="51"/>
      <c r="CH63" s="51"/>
      <c r="CI63" s="51"/>
      <c r="CJ63" s="51"/>
      <c r="CK63" s="51"/>
      <c r="CL63" s="51"/>
      <c r="CM63" s="51"/>
      <c r="CN63" s="51"/>
      <c r="CO63" s="51"/>
      <c r="CP63" s="51"/>
      <c r="CQ63" s="51"/>
      <c r="CR63" s="51"/>
      <c r="CS63" s="51"/>
      <c r="CT63" s="51"/>
      <c r="CU63" s="51"/>
      <c r="CV63" s="51"/>
      <c r="CW63" s="51"/>
      <c r="CX63" s="51"/>
      <c r="CY63" s="51"/>
      <c r="CZ63" s="51"/>
      <c r="DA63" s="51"/>
      <c r="DB63" s="51"/>
      <c r="DC63" s="51"/>
      <c r="DD63" s="51"/>
      <c r="DE63" s="51"/>
      <c r="DF63" s="51"/>
      <c r="DG63" s="51"/>
      <c r="DH63" s="51"/>
      <c r="DI63" s="51"/>
      <c r="DJ63" s="51"/>
      <c r="DK63" s="51"/>
      <c r="DL63" s="51"/>
      <c r="DM63" s="51"/>
      <c r="DN63" s="51"/>
      <c r="DO63" s="51"/>
      <c r="DP63" s="51"/>
      <c r="DQ63" s="51"/>
      <c r="DR63" s="51"/>
      <c r="DS63" s="51"/>
      <c r="DT63" s="51"/>
      <c r="DU63" s="51"/>
      <c r="DV63" s="51"/>
      <c r="DW63" s="51"/>
      <c r="DX63" s="51"/>
      <c r="DY63" s="51"/>
      <c r="DZ63" s="51"/>
      <c r="EA63" s="51"/>
    </row>
    <row r="64" spans="1:131">
      <c r="A64" s="39"/>
      <c r="B64" s="61"/>
      <c r="C64" s="61"/>
      <c r="D64" s="69">
        <f t="shared" si="0"/>
        <v>0</v>
      </c>
      <c r="E64" s="74">
        <f t="shared" si="1"/>
        <v>0</v>
      </c>
      <c r="F64" s="6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  <c r="CX64" s="44"/>
      <c r="CY64" s="44"/>
      <c r="CZ64" s="44"/>
      <c r="DA64" s="44"/>
      <c r="DB64" s="44"/>
      <c r="DC64" s="44"/>
      <c r="DD64" s="44"/>
      <c r="DE64" s="44"/>
      <c r="DF64" s="44"/>
      <c r="DG64" s="44"/>
      <c r="DH64" s="44"/>
      <c r="DI64" s="44"/>
      <c r="DJ64" s="44"/>
      <c r="DK64" s="44"/>
      <c r="DL64" s="44"/>
      <c r="DM64" s="44"/>
      <c r="DN64" s="44"/>
      <c r="DO64" s="44"/>
      <c r="DP64" s="44"/>
      <c r="DQ64" s="44"/>
      <c r="DR64" s="44"/>
      <c r="DS64" s="44"/>
      <c r="DT64" s="44"/>
      <c r="DU64" s="44"/>
      <c r="DV64" s="44"/>
      <c r="DW64" s="44"/>
      <c r="DX64" s="44"/>
      <c r="DY64" s="44"/>
      <c r="DZ64" s="44"/>
      <c r="EA64" s="44"/>
    </row>
    <row r="65" spans="1:131">
      <c r="A65" s="54"/>
      <c r="B65" s="55"/>
      <c r="C65" s="55"/>
      <c r="D65" s="68">
        <f t="shared" si="0"/>
        <v>0</v>
      </c>
      <c r="E65" s="70">
        <f t="shared" si="1"/>
        <v>0</v>
      </c>
      <c r="F65" s="63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E65" s="51"/>
      <c r="BF65" s="51"/>
      <c r="BG65" s="51"/>
      <c r="BH65" s="51"/>
      <c r="BI65" s="51"/>
      <c r="BJ65" s="51"/>
      <c r="BK65" s="51"/>
      <c r="BL65" s="51"/>
      <c r="BM65" s="51"/>
      <c r="BN65" s="51"/>
      <c r="BO65" s="51"/>
      <c r="BP65" s="51"/>
      <c r="BQ65" s="51"/>
      <c r="BR65" s="51"/>
      <c r="BS65" s="51"/>
      <c r="BT65" s="51"/>
      <c r="BU65" s="51"/>
      <c r="BV65" s="51"/>
      <c r="BW65" s="51"/>
      <c r="BX65" s="51"/>
      <c r="BY65" s="51"/>
      <c r="BZ65" s="51"/>
      <c r="CA65" s="51"/>
      <c r="CB65" s="51"/>
      <c r="CC65" s="51"/>
      <c r="CD65" s="51"/>
      <c r="CE65" s="51"/>
      <c r="CF65" s="51"/>
      <c r="CG65" s="51"/>
      <c r="CH65" s="51"/>
      <c r="CI65" s="51"/>
      <c r="CJ65" s="51"/>
      <c r="CK65" s="51"/>
      <c r="CL65" s="51"/>
      <c r="CM65" s="51"/>
      <c r="CN65" s="51"/>
      <c r="CO65" s="51"/>
      <c r="CP65" s="51"/>
      <c r="CQ65" s="51"/>
      <c r="CR65" s="51"/>
      <c r="CS65" s="51"/>
      <c r="CT65" s="51"/>
      <c r="CU65" s="51"/>
      <c r="CV65" s="51"/>
      <c r="CW65" s="51"/>
      <c r="CX65" s="51"/>
      <c r="CY65" s="51"/>
      <c r="CZ65" s="51"/>
      <c r="DA65" s="51"/>
      <c r="DB65" s="51"/>
      <c r="DC65" s="51"/>
      <c r="DD65" s="51"/>
      <c r="DE65" s="51"/>
      <c r="DF65" s="51"/>
      <c r="DG65" s="51"/>
      <c r="DH65" s="51"/>
      <c r="DI65" s="51"/>
      <c r="DJ65" s="51"/>
      <c r="DK65" s="51"/>
      <c r="DL65" s="51"/>
      <c r="DM65" s="51"/>
      <c r="DN65" s="51"/>
      <c r="DO65" s="51"/>
      <c r="DP65" s="51"/>
      <c r="DQ65" s="51"/>
      <c r="DR65" s="51"/>
      <c r="DS65" s="51"/>
      <c r="DT65" s="51"/>
      <c r="DU65" s="51"/>
      <c r="DV65" s="51"/>
      <c r="DW65" s="51"/>
      <c r="DX65" s="51"/>
      <c r="DY65" s="51"/>
      <c r="DZ65" s="51"/>
      <c r="EA65" s="51"/>
    </row>
    <row r="66" spans="1:131">
      <c r="A66" s="39"/>
      <c r="B66" s="61"/>
      <c r="C66" s="61"/>
      <c r="D66" s="69">
        <f t="shared" si="0"/>
        <v>0</v>
      </c>
      <c r="E66" s="74">
        <f t="shared" si="1"/>
        <v>0</v>
      </c>
      <c r="F66" s="6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  <c r="CX66" s="44"/>
      <c r="CY66" s="44"/>
      <c r="CZ66" s="44"/>
      <c r="DA66" s="44"/>
      <c r="DB66" s="44"/>
      <c r="DC66" s="44"/>
      <c r="DD66" s="44"/>
      <c r="DE66" s="44"/>
      <c r="DF66" s="44"/>
      <c r="DG66" s="44"/>
      <c r="DH66" s="44"/>
      <c r="DI66" s="44"/>
      <c r="DJ66" s="44"/>
      <c r="DK66" s="44"/>
      <c r="DL66" s="44"/>
      <c r="DM66" s="44"/>
      <c r="DN66" s="44"/>
      <c r="DO66" s="44"/>
      <c r="DP66" s="44"/>
      <c r="DQ66" s="44"/>
      <c r="DR66" s="44"/>
      <c r="DS66" s="44"/>
      <c r="DT66" s="44"/>
      <c r="DU66" s="44"/>
      <c r="DV66" s="44"/>
      <c r="DW66" s="44"/>
      <c r="DX66" s="44"/>
      <c r="DY66" s="44"/>
      <c r="DZ66" s="44"/>
      <c r="EA66" s="44"/>
    </row>
    <row r="67" spans="1:131">
      <c r="A67" s="54"/>
      <c r="B67" s="55"/>
      <c r="C67" s="55"/>
      <c r="D67" s="68">
        <f t="shared" si="0"/>
        <v>0</v>
      </c>
      <c r="E67" s="70">
        <f t="shared" si="1"/>
        <v>0</v>
      </c>
      <c r="F67" s="63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  <c r="AZ67" s="51"/>
      <c r="BA67" s="51"/>
      <c r="BB67" s="51"/>
      <c r="BC67" s="51"/>
      <c r="BD67" s="51"/>
      <c r="BE67" s="51"/>
      <c r="BF67" s="51"/>
      <c r="BG67" s="51"/>
      <c r="BH67" s="51"/>
      <c r="BI67" s="51"/>
      <c r="BJ67" s="51"/>
      <c r="BK67" s="51"/>
      <c r="BL67" s="51"/>
      <c r="BM67" s="51"/>
      <c r="BN67" s="51"/>
      <c r="BO67" s="51"/>
      <c r="BP67" s="51"/>
      <c r="BQ67" s="51"/>
      <c r="BR67" s="51"/>
      <c r="BS67" s="51"/>
      <c r="BT67" s="51"/>
      <c r="BU67" s="51"/>
      <c r="BV67" s="51"/>
      <c r="BW67" s="51"/>
      <c r="BX67" s="51"/>
      <c r="BY67" s="51"/>
      <c r="BZ67" s="51"/>
      <c r="CA67" s="51"/>
      <c r="CB67" s="51"/>
      <c r="CC67" s="51"/>
      <c r="CD67" s="51"/>
      <c r="CE67" s="51"/>
      <c r="CF67" s="51"/>
      <c r="CG67" s="51"/>
      <c r="CH67" s="51"/>
      <c r="CI67" s="51"/>
      <c r="CJ67" s="51"/>
      <c r="CK67" s="51"/>
      <c r="CL67" s="51"/>
      <c r="CM67" s="51"/>
      <c r="CN67" s="51"/>
      <c r="CO67" s="51"/>
      <c r="CP67" s="51"/>
      <c r="CQ67" s="51"/>
      <c r="CR67" s="51"/>
      <c r="CS67" s="51"/>
      <c r="CT67" s="51"/>
      <c r="CU67" s="51"/>
      <c r="CV67" s="51"/>
      <c r="CW67" s="51"/>
      <c r="CX67" s="51"/>
      <c r="CY67" s="51"/>
      <c r="CZ67" s="51"/>
      <c r="DA67" s="51"/>
      <c r="DB67" s="51"/>
      <c r="DC67" s="51"/>
      <c r="DD67" s="51"/>
      <c r="DE67" s="51"/>
      <c r="DF67" s="51"/>
      <c r="DG67" s="51"/>
      <c r="DH67" s="51"/>
      <c r="DI67" s="51"/>
      <c r="DJ67" s="51"/>
      <c r="DK67" s="51"/>
      <c r="DL67" s="51"/>
      <c r="DM67" s="51"/>
      <c r="DN67" s="51"/>
      <c r="DO67" s="51"/>
      <c r="DP67" s="51"/>
      <c r="DQ67" s="51"/>
      <c r="DR67" s="51"/>
      <c r="DS67" s="51"/>
      <c r="DT67" s="51"/>
      <c r="DU67" s="51"/>
      <c r="DV67" s="51"/>
      <c r="DW67" s="51"/>
      <c r="DX67" s="51"/>
      <c r="DY67" s="51"/>
      <c r="DZ67" s="51"/>
      <c r="EA67" s="51"/>
    </row>
    <row r="68" spans="1:131">
      <c r="A68" s="39"/>
      <c r="B68" s="61"/>
      <c r="C68" s="61"/>
      <c r="D68" s="69">
        <f t="shared" si="0"/>
        <v>0</v>
      </c>
      <c r="E68" s="74">
        <f t="shared" si="1"/>
        <v>0</v>
      </c>
      <c r="F68" s="6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  <c r="CX68" s="44"/>
      <c r="CY68" s="44"/>
      <c r="CZ68" s="44"/>
      <c r="DA68" s="44"/>
      <c r="DB68" s="44"/>
      <c r="DC68" s="44"/>
      <c r="DD68" s="44"/>
      <c r="DE68" s="44"/>
      <c r="DF68" s="44"/>
      <c r="DG68" s="44"/>
      <c r="DH68" s="44"/>
      <c r="DI68" s="44"/>
      <c r="DJ68" s="44"/>
      <c r="DK68" s="44"/>
      <c r="DL68" s="44"/>
      <c r="DM68" s="44"/>
      <c r="DN68" s="44"/>
      <c r="DO68" s="44"/>
      <c r="DP68" s="44"/>
      <c r="DQ68" s="44"/>
      <c r="DR68" s="44"/>
      <c r="DS68" s="44"/>
      <c r="DT68" s="44"/>
      <c r="DU68" s="44"/>
      <c r="DV68" s="44"/>
      <c r="DW68" s="44"/>
      <c r="DX68" s="44"/>
      <c r="DY68" s="44"/>
      <c r="DZ68" s="44"/>
      <c r="EA68" s="44"/>
    </row>
    <row r="69" spans="1:131">
      <c r="A69" s="54"/>
      <c r="B69" s="55"/>
      <c r="C69" s="55"/>
      <c r="D69" s="68">
        <f t="shared" si="0"/>
        <v>0</v>
      </c>
      <c r="E69" s="70">
        <f t="shared" si="1"/>
        <v>0</v>
      </c>
      <c r="F69" s="63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/>
      <c r="AZ69" s="51"/>
      <c r="BA69" s="51"/>
      <c r="BB69" s="51"/>
      <c r="BC69" s="51"/>
      <c r="BD69" s="51"/>
      <c r="BE69" s="51"/>
      <c r="BF69" s="51"/>
      <c r="BG69" s="51"/>
      <c r="BH69" s="51"/>
      <c r="BI69" s="51"/>
      <c r="BJ69" s="51"/>
      <c r="BK69" s="51"/>
      <c r="BL69" s="51"/>
      <c r="BM69" s="51"/>
      <c r="BN69" s="51"/>
      <c r="BO69" s="51"/>
      <c r="BP69" s="51"/>
      <c r="BQ69" s="51"/>
      <c r="BR69" s="51"/>
      <c r="BS69" s="51"/>
      <c r="BT69" s="51"/>
      <c r="BU69" s="51"/>
      <c r="BV69" s="51"/>
      <c r="BW69" s="51"/>
      <c r="BX69" s="51"/>
      <c r="BY69" s="51"/>
      <c r="BZ69" s="51"/>
      <c r="CA69" s="51"/>
      <c r="CB69" s="51"/>
      <c r="CC69" s="51"/>
      <c r="CD69" s="51"/>
      <c r="CE69" s="51"/>
      <c r="CF69" s="51"/>
      <c r="CG69" s="51"/>
      <c r="CH69" s="51"/>
      <c r="CI69" s="51"/>
      <c r="CJ69" s="51"/>
      <c r="CK69" s="51"/>
      <c r="CL69" s="51"/>
      <c r="CM69" s="51"/>
      <c r="CN69" s="51"/>
      <c r="CO69" s="51"/>
      <c r="CP69" s="51"/>
      <c r="CQ69" s="51"/>
      <c r="CR69" s="51"/>
      <c r="CS69" s="51"/>
      <c r="CT69" s="51"/>
      <c r="CU69" s="51"/>
      <c r="CV69" s="51"/>
      <c r="CW69" s="51"/>
      <c r="CX69" s="51"/>
      <c r="CY69" s="51"/>
      <c r="CZ69" s="51"/>
      <c r="DA69" s="51"/>
      <c r="DB69" s="51"/>
      <c r="DC69" s="51"/>
      <c r="DD69" s="51"/>
      <c r="DE69" s="51"/>
      <c r="DF69" s="51"/>
      <c r="DG69" s="51"/>
      <c r="DH69" s="51"/>
      <c r="DI69" s="51"/>
      <c r="DJ69" s="51"/>
      <c r="DK69" s="51"/>
      <c r="DL69" s="51"/>
      <c r="DM69" s="51"/>
      <c r="DN69" s="51"/>
      <c r="DO69" s="51"/>
      <c r="DP69" s="51"/>
      <c r="DQ69" s="51"/>
      <c r="DR69" s="51"/>
      <c r="DS69" s="51"/>
      <c r="DT69" s="51"/>
      <c r="DU69" s="51"/>
      <c r="DV69" s="51"/>
      <c r="DW69" s="51"/>
      <c r="DX69" s="51"/>
      <c r="DY69" s="51"/>
      <c r="DZ69" s="51"/>
      <c r="EA69" s="51"/>
    </row>
    <row r="70" spans="1:131">
      <c r="A70" s="39"/>
      <c r="B70" s="61"/>
      <c r="C70" s="61"/>
      <c r="D70" s="69">
        <f t="shared" si="0"/>
        <v>0</v>
      </c>
      <c r="E70" s="74">
        <f t="shared" si="1"/>
        <v>0</v>
      </c>
      <c r="F70" s="6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  <c r="CX70" s="44"/>
      <c r="CY70" s="44"/>
      <c r="CZ70" s="44"/>
      <c r="DA70" s="44"/>
      <c r="DB70" s="44"/>
      <c r="DC70" s="44"/>
      <c r="DD70" s="44"/>
      <c r="DE70" s="44"/>
      <c r="DF70" s="44"/>
      <c r="DG70" s="44"/>
      <c r="DH70" s="44"/>
      <c r="DI70" s="44"/>
      <c r="DJ70" s="44"/>
      <c r="DK70" s="44"/>
      <c r="DL70" s="44"/>
      <c r="DM70" s="44"/>
      <c r="DN70" s="44"/>
      <c r="DO70" s="44"/>
      <c r="DP70" s="44"/>
      <c r="DQ70" s="44"/>
      <c r="DR70" s="44"/>
      <c r="DS70" s="44"/>
      <c r="DT70" s="44"/>
      <c r="DU70" s="44"/>
      <c r="DV70" s="44"/>
      <c r="DW70" s="44"/>
      <c r="DX70" s="44"/>
      <c r="DY70" s="44"/>
      <c r="DZ70" s="44"/>
      <c r="EA70" s="44"/>
    </row>
    <row r="71" spans="1:131">
      <c r="A71" s="54"/>
      <c r="B71" s="55"/>
      <c r="C71" s="55"/>
      <c r="D71" s="68">
        <f t="shared" si="0"/>
        <v>0</v>
      </c>
      <c r="E71" s="70">
        <f t="shared" si="1"/>
        <v>0</v>
      </c>
      <c r="F71" s="63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  <c r="AZ71" s="51"/>
      <c r="BA71" s="51"/>
      <c r="BB71" s="51"/>
      <c r="BC71" s="51"/>
      <c r="BD71" s="51"/>
      <c r="BE71" s="51"/>
      <c r="BF71" s="51"/>
      <c r="BG71" s="51"/>
      <c r="BH71" s="51"/>
      <c r="BI71" s="51"/>
      <c r="BJ71" s="51"/>
      <c r="BK71" s="51"/>
      <c r="BL71" s="51"/>
      <c r="BM71" s="51"/>
      <c r="BN71" s="51"/>
      <c r="BO71" s="51"/>
      <c r="BP71" s="51"/>
      <c r="BQ71" s="51"/>
      <c r="BR71" s="51"/>
      <c r="BS71" s="51"/>
      <c r="BT71" s="51"/>
      <c r="BU71" s="51"/>
      <c r="BV71" s="51"/>
      <c r="BW71" s="51"/>
      <c r="BX71" s="51"/>
      <c r="BY71" s="51"/>
      <c r="BZ71" s="51"/>
      <c r="CA71" s="51"/>
      <c r="CB71" s="51"/>
      <c r="CC71" s="51"/>
      <c r="CD71" s="51"/>
      <c r="CE71" s="51"/>
      <c r="CF71" s="51"/>
      <c r="CG71" s="51"/>
      <c r="CH71" s="51"/>
      <c r="CI71" s="51"/>
      <c r="CJ71" s="51"/>
      <c r="CK71" s="51"/>
      <c r="CL71" s="51"/>
      <c r="CM71" s="51"/>
      <c r="CN71" s="51"/>
      <c r="CO71" s="51"/>
      <c r="CP71" s="51"/>
      <c r="CQ71" s="51"/>
      <c r="CR71" s="51"/>
      <c r="CS71" s="51"/>
      <c r="CT71" s="51"/>
      <c r="CU71" s="51"/>
      <c r="CV71" s="51"/>
      <c r="CW71" s="51"/>
      <c r="CX71" s="51"/>
      <c r="CY71" s="51"/>
      <c r="CZ71" s="51"/>
      <c r="DA71" s="51"/>
      <c r="DB71" s="51"/>
      <c r="DC71" s="51"/>
      <c r="DD71" s="51"/>
      <c r="DE71" s="51"/>
      <c r="DF71" s="51"/>
      <c r="DG71" s="51"/>
      <c r="DH71" s="51"/>
      <c r="DI71" s="51"/>
      <c r="DJ71" s="51"/>
      <c r="DK71" s="51"/>
      <c r="DL71" s="51"/>
      <c r="DM71" s="51"/>
      <c r="DN71" s="51"/>
      <c r="DO71" s="51"/>
      <c r="DP71" s="51"/>
      <c r="DQ71" s="51"/>
      <c r="DR71" s="51"/>
      <c r="DS71" s="51"/>
      <c r="DT71" s="51"/>
      <c r="DU71" s="51"/>
      <c r="DV71" s="51"/>
      <c r="DW71" s="51"/>
      <c r="DX71" s="51"/>
      <c r="DY71" s="51"/>
      <c r="DZ71" s="51"/>
      <c r="EA71" s="51"/>
    </row>
    <row r="72" spans="1:131">
      <c r="A72" s="39"/>
      <c r="B72" s="61"/>
      <c r="C72" s="61"/>
      <c r="D72" s="69">
        <f t="shared" si="0"/>
        <v>0</v>
      </c>
      <c r="E72" s="74">
        <f t="shared" si="1"/>
        <v>0</v>
      </c>
      <c r="F72" s="6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  <c r="CX72" s="44"/>
      <c r="CY72" s="44"/>
      <c r="CZ72" s="44"/>
      <c r="DA72" s="44"/>
      <c r="DB72" s="44"/>
      <c r="DC72" s="44"/>
      <c r="DD72" s="44"/>
      <c r="DE72" s="44"/>
      <c r="DF72" s="44"/>
      <c r="DG72" s="44"/>
      <c r="DH72" s="44"/>
      <c r="DI72" s="44"/>
      <c r="DJ72" s="44"/>
      <c r="DK72" s="44"/>
      <c r="DL72" s="44"/>
      <c r="DM72" s="44"/>
      <c r="DN72" s="44"/>
      <c r="DO72" s="44"/>
      <c r="DP72" s="44"/>
      <c r="DQ72" s="44"/>
      <c r="DR72" s="44"/>
      <c r="DS72" s="44"/>
      <c r="DT72" s="44"/>
      <c r="DU72" s="44"/>
      <c r="DV72" s="44"/>
      <c r="DW72" s="44"/>
      <c r="DX72" s="44"/>
      <c r="DY72" s="44"/>
      <c r="DZ72" s="44"/>
      <c r="EA72" s="44"/>
    </row>
    <row r="73" spans="1:131">
      <c r="A73" s="54"/>
      <c r="B73" s="55"/>
      <c r="C73" s="55"/>
      <c r="D73" s="68">
        <f t="shared" si="0"/>
        <v>0</v>
      </c>
      <c r="E73" s="70">
        <f t="shared" si="1"/>
        <v>0</v>
      </c>
      <c r="F73" s="63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1"/>
      <c r="BE73" s="51"/>
      <c r="BF73" s="51"/>
      <c r="BG73" s="51"/>
      <c r="BH73" s="51"/>
      <c r="BI73" s="51"/>
      <c r="BJ73" s="51"/>
      <c r="BK73" s="51"/>
      <c r="BL73" s="51"/>
      <c r="BM73" s="51"/>
      <c r="BN73" s="51"/>
      <c r="BO73" s="51"/>
      <c r="BP73" s="51"/>
      <c r="BQ73" s="51"/>
      <c r="BR73" s="51"/>
      <c r="BS73" s="51"/>
      <c r="BT73" s="51"/>
      <c r="BU73" s="51"/>
      <c r="BV73" s="51"/>
      <c r="BW73" s="51"/>
      <c r="BX73" s="51"/>
      <c r="BY73" s="51"/>
      <c r="BZ73" s="51"/>
      <c r="CA73" s="51"/>
      <c r="CB73" s="51"/>
      <c r="CC73" s="51"/>
      <c r="CD73" s="51"/>
      <c r="CE73" s="51"/>
      <c r="CF73" s="51"/>
      <c r="CG73" s="51"/>
      <c r="CH73" s="51"/>
      <c r="CI73" s="51"/>
      <c r="CJ73" s="51"/>
      <c r="CK73" s="51"/>
      <c r="CL73" s="51"/>
      <c r="CM73" s="51"/>
      <c r="CN73" s="51"/>
      <c r="CO73" s="51"/>
      <c r="CP73" s="51"/>
      <c r="CQ73" s="51"/>
      <c r="CR73" s="51"/>
      <c r="CS73" s="51"/>
      <c r="CT73" s="51"/>
      <c r="CU73" s="51"/>
      <c r="CV73" s="51"/>
      <c r="CW73" s="51"/>
      <c r="CX73" s="51"/>
      <c r="CY73" s="51"/>
      <c r="CZ73" s="51"/>
      <c r="DA73" s="51"/>
      <c r="DB73" s="51"/>
      <c r="DC73" s="51"/>
      <c r="DD73" s="51"/>
      <c r="DE73" s="51"/>
      <c r="DF73" s="51"/>
      <c r="DG73" s="51"/>
      <c r="DH73" s="51"/>
      <c r="DI73" s="51"/>
      <c r="DJ73" s="51"/>
      <c r="DK73" s="51"/>
      <c r="DL73" s="51"/>
      <c r="DM73" s="51"/>
      <c r="DN73" s="51"/>
      <c r="DO73" s="51"/>
      <c r="DP73" s="51"/>
      <c r="DQ73" s="51"/>
      <c r="DR73" s="51"/>
      <c r="DS73" s="51"/>
      <c r="DT73" s="51"/>
      <c r="DU73" s="51"/>
      <c r="DV73" s="51"/>
      <c r="DW73" s="51"/>
      <c r="DX73" s="51"/>
      <c r="DY73" s="51"/>
      <c r="DZ73" s="51"/>
      <c r="EA73" s="51"/>
    </row>
    <row r="74" spans="1:131">
      <c r="A74" s="39"/>
      <c r="B74" s="61"/>
      <c r="C74" s="61"/>
      <c r="D74" s="69">
        <f t="shared" si="0"/>
        <v>0</v>
      </c>
      <c r="E74" s="74">
        <f t="shared" si="1"/>
        <v>0</v>
      </c>
      <c r="F74" s="6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  <c r="CX74" s="44"/>
      <c r="CY74" s="44"/>
      <c r="CZ74" s="44"/>
      <c r="DA74" s="44"/>
      <c r="DB74" s="44"/>
      <c r="DC74" s="44"/>
      <c r="DD74" s="44"/>
      <c r="DE74" s="44"/>
      <c r="DF74" s="44"/>
      <c r="DG74" s="44"/>
      <c r="DH74" s="44"/>
      <c r="DI74" s="44"/>
      <c r="DJ74" s="44"/>
      <c r="DK74" s="44"/>
      <c r="DL74" s="44"/>
      <c r="DM74" s="44"/>
      <c r="DN74" s="44"/>
      <c r="DO74" s="44"/>
      <c r="DP74" s="44"/>
      <c r="DQ74" s="44"/>
      <c r="DR74" s="44"/>
      <c r="DS74" s="44"/>
      <c r="DT74" s="44"/>
      <c r="DU74" s="44"/>
      <c r="DV74" s="44"/>
      <c r="DW74" s="44"/>
      <c r="DX74" s="44"/>
      <c r="DY74" s="44"/>
      <c r="DZ74" s="44"/>
      <c r="EA74" s="44"/>
    </row>
    <row r="75" spans="1:131">
      <c r="A75" s="54"/>
      <c r="B75" s="55"/>
      <c r="C75" s="55"/>
      <c r="D75" s="68">
        <f t="shared" si="0"/>
        <v>0</v>
      </c>
      <c r="E75" s="70">
        <f t="shared" si="1"/>
        <v>0</v>
      </c>
      <c r="F75" s="63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/>
      <c r="AZ75" s="51"/>
      <c r="BA75" s="51"/>
      <c r="BB75" s="51"/>
      <c r="BC75" s="51"/>
      <c r="BD75" s="51"/>
      <c r="BE75" s="51"/>
      <c r="BF75" s="51"/>
      <c r="BG75" s="51"/>
      <c r="BH75" s="51"/>
      <c r="BI75" s="51"/>
      <c r="BJ75" s="51"/>
      <c r="BK75" s="51"/>
      <c r="BL75" s="51"/>
      <c r="BM75" s="51"/>
      <c r="BN75" s="51"/>
      <c r="BO75" s="51"/>
      <c r="BP75" s="51"/>
      <c r="BQ75" s="51"/>
      <c r="BR75" s="51"/>
      <c r="BS75" s="51"/>
      <c r="BT75" s="51"/>
      <c r="BU75" s="51"/>
      <c r="BV75" s="51"/>
      <c r="BW75" s="51"/>
      <c r="BX75" s="51"/>
      <c r="BY75" s="51"/>
      <c r="BZ75" s="51"/>
      <c r="CA75" s="51"/>
      <c r="CB75" s="51"/>
      <c r="CC75" s="51"/>
      <c r="CD75" s="51"/>
      <c r="CE75" s="51"/>
      <c r="CF75" s="51"/>
      <c r="CG75" s="51"/>
      <c r="CH75" s="51"/>
      <c r="CI75" s="51"/>
      <c r="CJ75" s="51"/>
      <c r="CK75" s="51"/>
      <c r="CL75" s="51"/>
      <c r="CM75" s="51"/>
      <c r="CN75" s="51"/>
      <c r="CO75" s="51"/>
      <c r="CP75" s="51"/>
      <c r="CQ75" s="51"/>
      <c r="CR75" s="51"/>
      <c r="CS75" s="51"/>
      <c r="CT75" s="51"/>
      <c r="CU75" s="51"/>
      <c r="CV75" s="51"/>
      <c r="CW75" s="51"/>
      <c r="CX75" s="51"/>
      <c r="CY75" s="51"/>
      <c r="CZ75" s="51"/>
      <c r="DA75" s="51"/>
      <c r="DB75" s="51"/>
      <c r="DC75" s="51"/>
      <c r="DD75" s="51"/>
      <c r="DE75" s="51"/>
      <c r="DF75" s="51"/>
      <c r="DG75" s="51"/>
      <c r="DH75" s="51"/>
      <c r="DI75" s="51"/>
      <c r="DJ75" s="51"/>
      <c r="DK75" s="51"/>
      <c r="DL75" s="51"/>
      <c r="DM75" s="51"/>
      <c r="DN75" s="51"/>
      <c r="DO75" s="51"/>
      <c r="DP75" s="51"/>
      <c r="DQ75" s="51"/>
      <c r="DR75" s="51"/>
      <c r="DS75" s="51"/>
      <c r="DT75" s="51"/>
      <c r="DU75" s="51"/>
      <c r="DV75" s="51"/>
      <c r="DW75" s="51"/>
      <c r="DX75" s="51"/>
      <c r="DY75" s="51"/>
      <c r="DZ75" s="51"/>
      <c r="EA75" s="51"/>
    </row>
    <row r="76" spans="1:131">
      <c r="A76" s="39"/>
      <c r="B76" s="61"/>
      <c r="C76" s="61"/>
      <c r="D76" s="69">
        <f t="shared" ref="D76:D110" si="2">COUNTIF(F76:EA76,"=P")</f>
        <v>0</v>
      </c>
      <c r="E76" s="74">
        <f t="shared" ref="E76:E110" si="3">COUNTIF(F76:EA76,"=F")</f>
        <v>0</v>
      </c>
      <c r="F76" s="6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/>
      <c r="BI76" s="44"/>
      <c r="BJ76" s="44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  <c r="CX76" s="44"/>
      <c r="CY76" s="44"/>
      <c r="CZ76" s="44"/>
      <c r="DA76" s="44"/>
      <c r="DB76" s="44"/>
      <c r="DC76" s="44"/>
      <c r="DD76" s="44"/>
      <c r="DE76" s="44"/>
      <c r="DF76" s="44"/>
      <c r="DG76" s="44"/>
      <c r="DH76" s="44"/>
      <c r="DI76" s="44"/>
      <c r="DJ76" s="44"/>
      <c r="DK76" s="44"/>
      <c r="DL76" s="44"/>
      <c r="DM76" s="44"/>
      <c r="DN76" s="44"/>
      <c r="DO76" s="44"/>
      <c r="DP76" s="44"/>
      <c r="DQ76" s="44"/>
      <c r="DR76" s="44"/>
      <c r="DS76" s="44"/>
      <c r="DT76" s="44"/>
      <c r="DU76" s="44"/>
      <c r="DV76" s="44"/>
      <c r="DW76" s="44"/>
      <c r="DX76" s="44"/>
      <c r="DY76" s="44"/>
      <c r="DZ76" s="44"/>
      <c r="EA76" s="44"/>
    </row>
    <row r="77" spans="1:131">
      <c r="A77" s="54"/>
      <c r="B77" s="55"/>
      <c r="C77" s="55"/>
      <c r="D77" s="68">
        <f t="shared" si="2"/>
        <v>0</v>
      </c>
      <c r="E77" s="70">
        <f t="shared" si="3"/>
        <v>0</v>
      </c>
      <c r="F77" s="63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/>
      <c r="AZ77" s="51"/>
      <c r="BA77" s="51"/>
      <c r="BB77" s="51"/>
      <c r="BC77" s="51"/>
      <c r="BD77" s="51"/>
      <c r="BE77" s="51"/>
      <c r="BF77" s="51"/>
      <c r="BG77" s="51"/>
      <c r="BH77" s="51"/>
      <c r="BI77" s="51"/>
      <c r="BJ77" s="51"/>
      <c r="BK77" s="51"/>
      <c r="BL77" s="51"/>
      <c r="BM77" s="51"/>
      <c r="BN77" s="51"/>
      <c r="BO77" s="51"/>
      <c r="BP77" s="51"/>
      <c r="BQ77" s="51"/>
      <c r="BR77" s="51"/>
      <c r="BS77" s="51"/>
      <c r="BT77" s="51"/>
      <c r="BU77" s="51"/>
      <c r="BV77" s="51"/>
      <c r="BW77" s="51"/>
      <c r="BX77" s="51"/>
      <c r="BY77" s="51"/>
      <c r="BZ77" s="51"/>
      <c r="CA77" s="51"/>
      <c r="CB77" s="51"/>
      <c r="CC77" s="51"/>
      <c r="CD77" s="51"/>
      <c r="CE77" s="51"/>
      <c r="CF77" s="51"/>
      <c r="CG77" s="51"/>
      <c r="CH77" s="51"/>
      <c r="CI77" s="51"/>
      <c r="CJ77" s="51"/>
      <c r="CK77" s="51"/>
      <c r="CL77" s="51"/>
      <c r="CM77" s="51"/>
      <c r="CN77" s="51"/>
      <c r="CO77" s="51"/>
      <c r="CP77" s="51"/>
      <c r="CQ77" s="51"/>
      <c r="CR77" s="51"/>
      <c r="CS77" s="51"/>
      <c r="CT77" s="51"/>
      <c r="CU77" s="51"/>
      <c r="CV77" s="51"/>
      <c r="CW77" s="51"/>
      <c r="CX77" s="51"/>
      <c r="CY77" s="51"/>
      <c r="CZ77" s="51"/>
      <c r="DA77" s="51"/>
      <c r="DB77" s="51"/>
      <c r="DC77" s="51"/>
      <c r="DD77" s="51"/>
      <c r="DE77" s="51"/>
      <c r="DF77" s="51"/>
      <c r="DG77" s="51"/>
      <c r="DH77" s="51"/>
      <c r="DI77" s="51"/>
      <c r="DJ77" s="51"/>
      <c r="DK77" s="51"/>
      <c r="DL77" s="51"/>
      <c r="DM77" s="51"/>
      <c r="DN77" s="51"/>
      <c r="DO77" s="51"/>
      <c r="DP77" s="51"/>
      <c r="DQ77" s="51"/>
      <c r="DR77" s="51"/>
      <c r="DS77" s="51"/>
      <c r="DT77" s="51"/>
      <c r="DU77" s="51"/>
      <c r="DV77" s="51"/>
      <c r="DW77" s="51"/>
      <c r="DX77" s="51"/>
      <c r="DY77" s="51"/>
      <c r="DZ77" s="51"/>
      <c r="EA77" s="51"/>
    </row>
    <row r="78" spans="1:131">
      <c r="A78" s="39"/>
      <c r="B78" s="61"/>
      <c r="C78" s="61"/>
      <c r="D78" s="69">
        <f t="shared" si="2"/>
        <v>0</v>
      </c>
      <c r="E78" s="74">
        <f t="shared" si="3"/>
        <v>0</v>
      </c>
      <c r="F78" s="6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  <c r="CX78" s="44"/>
      <c r="CY78" s="44"/>
      <c r="CZ78" s="44"/>
      <c r="DA78" s="44"/>
      <c r="DB78" s="44"/>
      <c r="DC78" s="44"/>
      <c r="DD78" s="44"/>
      <c r="DE78" s="44"/>
      <c r="DF78" s="44"/>
      <c r="DG78" s="44"/>
      <c r="DH78" s="44"/>
      <c r="DI78" s="44"/>
      <c r="DJ78" s="44"/>
      <c r="DK78" s="44"/>
      <c r="DL78" s="44"/>
      <c r="DM78" s="44"/>
      <c r="DN78" s="44"/>
      <c r="DO78" s="44"/>
      <c r="DP78" s="44"/>
      <c r="DQ78" s="44"/>
      <c r="DR78" s="44"/>
      <c r="DS78" s="44"/>
      <c r="DT78" s="44"/>
      <c r="DU78" s="44"/>
      <c r="DV78" s="44"/>
      <c r="DW78" s="44"/>
      <c r="DX78" s="44"/>
      <c r="DY78" s="44"/>
      <c r="DZ78" s="44"/>
      <c r="EA78" s="44"/>
    </row>
    <row r="79" spans="1:131">
      <c r="A79" s="54"/>
      <c r="B79" s="55"/>
      <c r="C79" s="55"/>
      <c r="D79" s="68">
        <f t="shared" si="2"/>
        <v>0</v>
      </c>
      <c r="E79" s="70">
        <f t="shared" si="3"/>
        <v>0</v>
      </c>
      <c r="F79" s="63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  <c r="AV79" s="51"/>
      <c r="AW79" s="51"/>
      <c r="AX79" s="51"/>
      <c r="AY79" s="51"/>
      <c r="AZ79" s="51"/>
      <c r="BA79" s="51"/>
      <c r="BB79" s="51"/>
      <c r="BC79" s="51"/>
      <c r="BD79" s="51"/>
      <c r="BE79" s="51"/>
      <c r="BF79" s="51"/>
      <c r="BG79" s="51"/>
      <c r="BH79" s="51"/>
      <c r="BI79" s="51"/>
      <c r="BJ79" s="51"/>
      <c r="BK79" s="51"/>
      <c r="BL79" s="51"/>
      <c r="BM79" s="51"/>
      <c r="BN79" s="51"/>
      <c r="BO79" s="51"/>
      <c r="BP79" s="51"/>
      <c r="BQ79" s="51"/>
      <c r="BR79" s="51"/>
      <c r="BS79" s="51"/>
      <c r="BT79" s="51"/>
      <c r="BU79" s="51"/>
      <c r="BV79" s="51"/>
      <c r="BW79" s="51"/>
      <c r="BX79" s="51"/>
      <c r="BY79" s="51"/>
      <c r="BZ79" s="51"/>
      <c r="CA79" s="51"/>
      <c r="CB79" s="51"/>
      <c r="CC79" s="51"/>
      <c r="CD79" s="51"/>
      <c r="CE79" s="51"/>
      <c r="CF79" s="51"/>
      <c r="CG79" s="51"/>
      <c r="CH79" s="51"/>
      <c r="CI79" s="51"/>
      <c r="CJ79" s="51"/>
      <c r="CK79" s="51"/>
      <c r="CL79" s="51"/>
      <c r="CM79" s="51"/>
      <c r="CN79" s="51"/>
      <c r="CO79" s="51"/>
      <c r="CP79" s="51"/>
      <c r="CQ79" s="51"/>
      <c r="CR79" s="51"/>
      <c r="CS79" s="51"/>
      <c r="CT79" s="51"/>
      <c r="CU79" s="51"/>
      <c r="CV79" s="51"/>
      <c r="CW79" s="51"/>
      <c r="CX79" s="51"/>
      <c r="CY79" s="51"/>
      <c r="CZ79" s="51"/>
      <c r="DA79" s="51"/>
      <c r="DB79" s="51"/>
      <c r="DC79" s="51"/>
      <c r="DD79" s="51"/>
      <c r="DE79" s="51"/>
      <c r="DF79" s="51"/>
      <c r="DG79" s="51"/>
      <c r="DH79" s="51"/>
      <c r="DI79" s="51"/>
      <c r="DJ79" s="51"/>
      <c r="DK79" s="51"/>
      <c r="DL79" s="51"/>
      <c r="DM79" s="51"/>
      <c r="DN79" s="51"/>
      <c r="DO79" s="51"/>
      <c r="DP79" s="51"/>
      <c r="DQ79" s="51"/>
      <c r="DR79" s="51"/>
      <c r="DS79" s="51"/>
      <c r="DT79" s="51"/>
      <c r="DU79" s="51"/>
      <c r="DV79" s="51"/>
      <c r="DW79" s="51"/>
      <c r="DX79" s="51"/>
      <c r="DY79" s="51"/>
      <c r="DZ79" s="51"/>
      <c r="EA79" s="51"/>
    </row>
    <row r="80" spans="1:131">
      <c r="A80" s="39"/>
      <c r="B80" s="61"/>
      <c r="C80" s="61"/>
      <c r="D80" s="69">
        <f t="shared" si="2"/>
        <v>0</v>
      </c>
      <c r="E80" s="74">
        <f t="shared" si="3"/>
        <v>0</v>
      </c>
      <c r="F80" s="6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  <c r="CX80" s="44"/>
      <c r="CY80" s="44"/>
      <c r="CZ80" s="44"/>
      <c r="DA80" s="44"/>
      <c r="DB80" s="44"/>
      <c r="DC80" s="44"/>
      <c r="DD80" s="44"/>
      <c r="DE80" s="44"/>
      <c r="DF80" s="44"/>
      <c r="DG80" s="44"/>
      <c r="DH80" s="44"/>
      <c r="DI80" s="44"/>
      <c r="DJ80" s="44"/>
      <c r="DK80" s="44"/>
      <c r="DL80" s="44"/>
      <c r="DM80" s="44"/>
      <c r="DN80" s="44"/>
      <c r="DO80" s="44"/>
      <c r="DP80" s="44"/>
      <c r="DQ80" s="44"/>
      <c r="DR80" s="44"/>
      <c r="DS80" s="44"/>
      <c r="DT80" s="44"/>
      <c r="DU80" s="44"/>
      <c r="DV80" s="44"/>
      <c r="DW80" s="44"/>
      <c r="DX80" s="44"/>
      <c r="DY80" s="44"/>
      <c r="DZ80" s="44"/>
      <c r="EA80" s="44"/>
    </row>
    <row r="81" spans="1:131">
      <c r="A81" s="54"/>
      <c r="B81" s="55"/>
      <c r="C81" s="55"/>
      <c r="D81" s="68">
        <f t="shared" si="2"/>
        <v>0</v>
      </c>
      <c r="E81" s="70">
        <f t="shared" si="3"/>
        <v>0</v>
      </c>
      <c r="F81" s="63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1"/>
      <c r="AW81" s="51"/>
      <c r="AX81" s="51"/>
      <c r="AY81" s="51"/>
      <c r="AZ81" s="51"/>
      <c r="BA81" s="51"/>
      <c r="BB81" s="51"/>
      <c r="BC81" s="51"/>
      <c r="BD81" s="51"/>
      <c r="BE81" s="51"/>
      <c r="BF81" s="51"/>
      <c r="BG81" s="51"/>
      <c r="BH81" s="51"/>
      <c r="BI81" s="51"/>
      <c r="BJ81" s="51"/>
      <c r="BK81" s="51"/>
      <c r="BL81" s="51"/>
      <c r="BM81" s="51"/>
      <c r="BN81" s="51"/>
      <c r="BO81" s="51"/>
      <c r="BP81" s="51"/>
      <c r="BQ81" s="51"/>
      <c r="BR81" s="51"/>
      <c r="BS81" s="51"/>
      <c r="BT81" s="51"/>
      <c r="BU81" s="51"/>
      <c r="BV81" s="51"/>
      <c r="BW81" s="51"/>
      <c r="BX81" s="51"/>
      <c r="BY81" s="51"/>
      <c r="BZ81" s="51"/>
      <c r="CA81" s="51"/>
      <c r="CB81" s="51"/>
      <c r="CC81" s="51"/>
      <c r="CD81" s="51"/>
      <c r="CE81" s="51"/>
      <c r="CF81" s="51"/>
      <c r="CG81" s="51"/>
      <c r="CH81" s="51"/>
      <c r="CI81" s="51"/>
      <c r="CJ81" s="51"/>
      <c r="CK81" s="51"/>
      <c r="CL81" s="51"/>
      <c r="CM81" s="51"/>
      <c r="CN81" s="51"/>
      <c r="CO81" s="51"/>
      <c r="CP81" s="51"/>
      <c r="CQ81" s="51"/>
      <c r="CR81" s="51"/>
      <c r="CS81" s="51"/>
      <c r="CT81" s="51"/>
      <c r="CU81" s="51"/>
      <c r="CV81" s="51"/>
      <c r="CW81" s="51"/>
      <c r="CX81" s="51"/>
      <c r="CY81" s="51"/>
      <c r="CZ81" s="51"/>
      <c r="DA81" s="51"/>
      <c r="DB81" s="51"/>
      <c r="DC81" s="51"/>
      <c r="DD81" s="51"/>
      <c r="DE81" s="51"/>
      <c r="DF81" s="51"/>
      <c r="DG81" s="51"/>
      <c r="DH81" s="51"/>
      <c r="DI81" s="51"/>
      <c r="DJ81" s="51"/>
      <c r="DK81" s="51"/>
      <c r="DL81" s="51"/>
      <c r="DM81" s="51"/>
      <c r="DN81" s="51"/>
      <c r="DO81" s="51"/>
      <c r="DP81" s="51"/>
      <c r="DQ81" s="51"/>
      <c r="DR81" s="51"/>
      <c r="DS81" s="51"/>
      <c r="DT81" s="51"/>
      <c r="DU81" s="51"/>
      <c r="DV81" s="51"/>
      <c r="DW81" s="51"/>
      <c r="DX81" s="51"/>
      <c r="DY81" s="51"/>
      <c r="DZ81" s="51"/>
      <c r="EA81" s="51"/>
    </row>
    <row r="82" spans="1:131">
      <c r="A82" s="39"/>
      <c r="B82" s="61"/>
      <c r="C82" s="61"/>
      <c r="D82" s="69">
        <f t="shared" si="2"/>
        <v>0</v>
      </c>
      <c r="E82" s="74">
        <f t="shared" si="3"/>
        <v>0</v>
      </c>
      <c r="F82" s="6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  <c r="CX82" s="44"/>
      <c r="CY82" s="44"/>
      <c r="CZ82" s="44"/>
      <c r="DA82" s="44"/>
      <c r="DB82" s="44"/>
      <c r="DC82" s="44"/>
      <c r="DD82" s="44"/>
      <c r="DE82" s="44"/>
      <c r="DF82" s="44"/>
      <c r="DG82" s="44"/>
      <c r="DH82" s="44"/>
      <c r="DI82" s="44"/>
      <c r="DJ82" s="44"/>
      <c r="DK82" s="44"/>
      <c r="DL82" s="44"/>
      <c r="DM82" s="44"/>
      <c r="DN82" s="44"/>
      <c r="DO82" s="44"/>
      <c r="DP82" s="44"/>
      <c r="DQ82" s="44"/>
      <c r="DR82" s="44"/>
      <c r="DS82" s="44"/>
      <c r="DT82" s="44"/>
      <c r="DU82" s="44"/>
      <c r="DV82" s="44"/>
      <c r="DW82" s="44"/>
      <c r="DX82" s="44"/>
      <c r="DY82" s="44"/>
      <c r="DZ82" s="44"/>
      <c r="EA82" s="44"/>
    </row>
    <row r="83" spans="1:131">
      <c r="A83" s="49"/>
      <c r="B83" s="62"/>
      <c r="C83" s="62"/>
      <c r="D83" s="68">
        <f t="shared" si="2"/>
        <v>0</v>
      </c>
      <c r="E83" s="70">
        <f t="shared" si="3"/>
        <v>0</v>
      </c>
      <c r="F83" s="63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  <c r="AX83" s="51"/>
      <c r="AY83" s="51"/>
      <c r="AZ83" s="51"/>
      <c r="BA83" s="51"/>
      <c r="BB83" s="51"/>
      <c r="BC83" s="51"/>
      <c r="BD83" s="51"/>
      <c r="BE83" s="51"/>
      <c r="BF83" s="51"/>
      <c r="BG83" s="51"/>
      <c r="BH83" s="51"/>
      <c r="BI83" s="51"/>
      <c r="BJ83" s="51"/>
      <c r="BK83" s="51"/>
      <c r="BL83" s="51"/>
      <c r="BM83" s="51"/>
      <c r="BN83" s="51"/>
      <c r="BO83" s="51"/>
      <c r="BP83" s="51"/>
      <c r="BQ83" s="51"/>
      <c r="BR83" s="51"/>
      <c r="BS83" s="51"/>
      <c r="BT83" s="51"/>
      <c r="BU83" s="51"/>
      <c r="BV83" s="51"/>
      <c r="BW83" s="51"/>
      <c r="BX83" s="51"/>
      <c r="BY83" s="51"/>
      <c r="BZ83" s="51"/>
      <c r="CA83" s="51"/>
      <c r="CB83" s="51"/>
      <c r="CC83" s="51"/>
      <c r="CD83" s="51"/>
      <c r="CE83" s="51"/>
      <c r="CF83" s="51"/>
      <c r="CG83" s="51"/>
      <c r="CH83" s="51"/>
      <c r="CI83" s="51"/>
      <c r="CJ83" s="51"/>
      <c r="CK83" s="51"/>
      <c r="CL83" s="51"/>
      <c r="CM83" s="51"/>
      <c r="CN83" s="51"/>
      <c r="CO83" s="51"/>
      <c r="CP83" s="51"/>
      <c r="CQ83" s="51"/>
      <c r="CR83" s="51"/>
      <c r="CS83" s="51"/>
      <c r="CT83" s="51"/>
      <c r="CU83" s="51"/>
      <c r="CV83" s="51"/>
      <c r="CW83" s="51"/>
      <c r="CX83" s="51"/>
      <c r="CY83" s="51"/>
      <c r="CZ83" s="51"/>
      <c r="DA83" s="51"/>
      <c r="DB83" s="51"/>
      <c r="DC83" s="51"/>
      <c r="DD83" s="51"/>
      <c r="DE83" s="51"/>
      <c r="DF83" s="51"/>
      <c r="DG83" s="51"/>
      <c r="DH83" s="51"/>
      <c r="DI83" s="51"/>
      <c r="DJ83" s="51"/>
      <c r="DK83" s="51"/>
      <c r="DL83" s="51"/>
      <c r="DM83" s="51"/>
      <c r="DN83" s="51"/>
      <c r="DO83" s="51"/>
      <c r="DP83" s="51"/>
      <c r="DQ83" s="51"/>
      <c r="DR83" s="51"/>
      <c r="DS83" s="51"/>
      <c r="DT83" s="51"/>
      <c r="DU83" s="51"/>
      <c r="DV83" s="51"/>
      <c r="DW83" s="51"/>
      <c r="DX83" s="51"/>
      <c r="DY83" s="51"/>
      <c r="DZ83" s="51"/>
      <c r="EA83" s="51"/>
    </row>
    <row r="84" spans="1:131">
      <c r="A84" s="39"/>
      <c r="B84" s="61"/>
      <c r="C84" s="61"/>
      <c r="D84" s="69">
        <f t="shared" si="2"/>
        <v>0</v>
      </c>
      <c r="E84" s="74">
        <f t="shared" si="3"/>
        <v>0</v>
      </c>
      <c r="F84" s="6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  <c r="CX84" s="44"/>
      <c r="CY84" s="44"/>
      <c r="CZ84" s="44"/>
      <c r="DA84" s="44"/>
      <c r="DB84" s="44"/>
      <c r="DC84" s="44"/>
      <c r="DD84" s="44"/>
      <c r="DE84" s="44"/>
      <c r="DF84" s="44"/>
      <c r="DG84" s="44"/>
      <c r="DH84" s="44"/>
      <c r="DI84" s="44"/>
      <c r="DJ84" s="44"/>
      <c r="DK84" s="44"/>
      <c r="DL84" s="44"/>
      <c r="DM84" s="44"/>
      <c r="DN84" s="44"/>
      <c r="DO84" s="44"/>
      <c r="DP84" s="44"/>
      <c r="DQ84" s="44"/>
      <c r="DR84" s="44"/>
      <c r="DS84" s="44"/>
      <c r="DT84" s="44"/>
      <c r="DU84" s="44"/>
      <c r="DV84" s="44"/>
      <c r="DW84" s="44"/>
      <c r="DX84" s="44"/>
      <c r="DY84" s="44"/>
      <c r="DZ84" s="44"/>
      <c r="EA84" s="44"/>
    </row>
    <row r="85" spans="1:131">
      <c r="A85" s="54"/>
      <c r="B85" s="55"/>
      <c r="C85" s="55"/>
      <c r="D85" s="68">
        <f t="shared" si="2"/>
        <v>0</v>
      </c>
      <c r="E85" s="70">
        <f t="shared" si="3"/>
        <v>0</v>
      </c>
      <c r="F85" s="63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  <c r="AV85" s="51"/>
      <c r="AW85" s="51"/>
      <c r="AX85" s="51"/>
      <c r="AY85" s="51"/>
      <c r="AZ85" s="51"/>
      <c r="BA85" s="51"/>
      <c r="BB85" s="51"/>
      <c r="BC85" s="51"/>
      <c r="BD85" s="51"/>
      <c r="BE85" s="51"/>
      <c r="BF85" s="51"/>
      <c r="BG85" s="51"/>
      <c r="BH85" s="51"/>
      <c r="BI85" s="51"/>
      <c r="BJ85" s="51"/>
      <c r="BK85" s="51"/>
      <c r="BL85" s="51"/>
      <c r="BM85" s="51"/>
      <c r="BN85" s="51"/>
      <c r="BO85" s="51"/>
      <c r="BP85" s="51"/>
      <c r="BQ85" s="51"/>
      <c r="BR85" s="51"/>
      <c r="BS85" s="51"/>
      <c r="BT85" s="51"/>
      <c r="BU85" s="51"/>
      <c r="BV85" s="51"/>
      <c r="BW85" s="51"/>
      <c r="BX85" s="51"/>
      <c r="BY85" s="51"/>
      <c r="BZ85" s="51"/>
      <c r="CA85" s="51"/>
      <c r="CB85" s="51"/>
      <c r="CC85" s="51"/>
      <c r="CD85" s="51"/>
      <c r="CE85" s="51"/>
      <c r="CF85" s="51"/>
      <c r="CG85" s="51"/>
      <c r="CH85" s="51"/>
      <c r="CI85" s="51"/>
      <c r="CJ85" s="51"/>
      <c r="CK85" s="51"/>
      <c r="CL85" s="51"/>
      <c r="CM85" s="51"/>
      <c r="CN85" s="51"/>
      <c r="CO85" s="51"/>
      <c r="CP85" s="51"/>
      <c r="CQ85" s="51"/>
      <c r="CR85" s="51"/>
      <c r="CS85" s="51"/>
      <c r="CT85" s="51"/>
      <c r="CU85" s="51"/>
      <c r="CV85" s="51"/>
      <c r="CW85" s="51"/>
      <c r="CX85" s="51"/>
      <c r="CY85" s="51"/>
      <c r="CZ85" s="51"/>
      <c r="DA85" s="51"/>
      <c r="DB85" s="51"/>
      <c r="DC85" s="51"/>
      <c r="DD85" s="51"/>
      <c r="DE85" s="51"/>
      <c r="DF85" s="51"/>
      <c r="DG85" s="51"/>
      <c r="DH85" s="51"/>
      <c r="DI85" s="51"/>
      <c r="DJ85" s="51"/>
      <c r="DK85" s="51"/>
      <c r="DL85" s="51"/>
      <c r="DM85" s="51"/>
      <c r="DN85" s="51"/>
      <c r="DO85" s="51"/>
      <c r="DP85" s="51"/>
      <c r="DQ85" s="51"/>
      <c r="DR85" s="51"/>
      <c r="DS85" s="51"/>
      <c r="DT85" s="51"/>
      <c r="DU85" s="51"/>
      <c r="DV85" s="51"/>
      <c r="DW85" s="51"/>
      <c r="DX85" s="51"/>
      <c r="DY85" s="51"/>
      <c r="DZ85" s="51"/>
      <c r="EA85" s="51"/>
    </row>
    <row r="86" spans="1:131">
      <c r="A86" s="39"/>
      <c r="B86" s="61"/>
      <c r="C86" s="61"/>
      <c r="D86" s="69">
        <f t="shared" si="2"/>
        <v>0</v>
      </c>
      <c r="E86" s="74">
        <f t="shared" si="3"/>
        <v>0</v>
      </c>
      <c r="F86" s="6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  <c r="CX86" s="44"/>
      <c r="CY86" s="44"/>
      <c r="CZ86" s="44"/>
      <c r="DA86" s="44"/>
      <c r="DB86" s="44"/>
      <c r="DC86" s="44"/>
      <c r="DD86" s="44"/>
      <c r="DE86" s="44"/>
      <c r="DF86" s="44"/>
      <c r="DG86" s="44"/>
      <c r="DH86" s="44"/>
      <c r="DI86" s="44"/>
      <c r="DJ86" s="44"/>
      <c r="DK86" s="44"/>
      <c r="DL86" s="44"/>
      <c r="DM86" s="44"/>
      <c r="DN86" s="44"/>
      <c r="DO86" s="44"/>
      <c r="DP86" s="44"/>
      <c r="DQ86" s="44"/>
      <c r="DR86" s="44"/>
      <c r="DS86" s="44"/>
      <c r="DT86" s="44"/>
      <c r="DU86" s="44"/>
      <c r="DV86" s="44"/>
      <c r="DW86" s="44"/>
      <c r="DX86" s="44"/>
      <c r="DY86" s="44"/>
      <c r="DZ86" s="44"/>
      <c r="EA86" s="44"/>
    </row>
    <row r="87" spans="1:131">
      <c r="A87" s="49"/>
      <c r="B87" s="62"/>
      <c r="C87" s="62"/>
      <c r="D87" s="68">
        <f t="shared" si="2"/>
        <v>0</v>
      </c>
      <c r="E87" s="70">
        <f t="shared" si="3"/>
        <v>0</v>
      </c>
      <c r="F87" s="63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  <c r="AV87" s="51"/>
      <c r="AW87" s="51"/>
      <c r="AX87" s="51"/>
      <c r="AY87" s="51"/>
      <c r="AZ87" s="51"/>
      <c r="BA87" s="51"/>
      <c r="BB87" s="51"/>
      <c r="BC87" s="51"/>
      <c r="BD87" s="51"/>
      <c r="BE87" s="51"/>
      <c r="BF87" s="51"/>
      <c r="BG87" s="51"/>
      <c r="BH87" s="51"/>
      <c r="BI87" s="51"/>
      <c r="BJ87" s="51"/>
      <c r="BK87" s="51"/>
      <c r="BL87" s="51"/>
      <c r="BM87" s="51"/>
      <c r="BN87" s="51"/>
      <c r="BO87" s="51"/>
      <c r="BP87" s="51"/>
      <c r="BQ87" s="51"/>
      <c r="BR87" s="51"/>
      <c r="BS87" s="51"/>
      <c r="BT87" s="51"/>
      <c r="BU87" s="51"/>
      <c r="BV87" s="51"/>
      <c r="BW87" s="51"/>
      <c r="BX87" s="51"/>
      <c r="BY87" s="51"/>
      <c r="BZ87" s="51"/>
      <c r="CA87" s="51"/>
      <c r="CB87" s="51"/>
      <c r="CC87" s="51"/>
      <c r="CD87" s="51"/>
      <c r="CE87" s="51"/>
      <c r="CF87" s="51"/>
      <c r="CG87" s="51"/>
      <c r="CH87" s="51"/>
      <c r="CI87" s="51"/>
      <c r="CJ87" s="51"/>
      <c r="CK87" s="51"/>
      <c r="CL87" s="51"/>
      <c r="CM87" s="51"/>
      <c r="CN87" s="51"/>
      <c r="CO87" s="51"/>
      <c r="CP87" s="51"/>
      <c r="CQ87" s="51"/>
      <c r="CR87" s="51"/>
      <c r="CS87" s="51"/>
      <c r="CT87" s="51"/>
      <c r="CU87" s="51"/>
      <c r="CV87" s="51"/>
      <c r="CW87" s="51"/>
      <c r="CX87" s="51"/>
      <c r="CY87" s="51"/>
      <c r="CZ87" s="51"/>
      <c r="DA87" s="51"/>
      <c r="DB87" s="51"/>
      <c r="DC87" s="51"/>
      <c r="DD87" s="51"/>
      <c r="DE87" s="51"/>
      <c r="DF87" s="51"/>
      <c r="DG87" s="51"/>
      <c r="DH87" s="51"/>
      <c r="DI87" s="51"/>
      <c r="DJ87" s="51"/>
      <c r="DK87" s="51"/>
      <c r="DL87" s="51"/>
      <c r="DM87" s="51"/>
      <c r="DN87" s="51"/>
      <c r="DO87" s="51"/>
      <c r="DP87" s="51"/>
      <c r="DQ87" s="51"/>
      <c r="DR87" s="51"/>
      <c r="DS87" s="51"/>
      <c r="DT87" s="51"/>
      <c r="DU87" s="51"/>
      <c r="DV87" s="51"/>
      <c r="DW87" s="51"/>
      <c r="DX87" s="51"/>
      <c r="DY87" s="51"/>
      <c r="DZ87" s="51"/>
      <c r="EA87" s="51"/>
    </row>
    <row r="88" spans="1:131">
      <c r="A88" s="39"/>
      <c r="B88" s="61"/>
      <c r="C88" s="61"/>
      <c r="D88" s="69">
        <f t="shared" si="2"/>
        <v>0</v>
      </c>
      <c r="E88" s="74">
        <f t="shared" si="3"/>
        <v>0</v>
      </c>
      <c r="F88" s="6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  <c r="CX88" s="44"/>
      <c r="CY88" s="44"/>
      <c r="CZ88" s="44"/>
      <c r="DA88" s="44"/>
      <c r="DB88" s="44"/>
      <c r="DC88" s="44"/>
      <c r="DD88" s="44"/>
      <c r="DE88" s="44"/>
      <c r="DF88" s="44"/>
      <c r="DG88" s="44"/>
      <c r="DH88" s="44"/>
      <c r="DI88" s="44"/>
      <c r="DJ88" s="44"/>
      <c r="DK88" s="44"/>
      <c r="DL88" s="44"/>
      <c r="DM88" s="44"/>
      <c r="DN88" s="44"/>
      <c r="DO88" s="44"/>
      <c r="DP88" s="44"/>
      <c r="DQ88" s="44"/>
      <c r="DR88" s="44"/>
      <c r="DS88" s="44"/>
      <c r="DT88" s="44"/>
      <c r="DU88" s="44"/>
      <c r="DV88" s="44"/>
      <c r="DW88" s="44"/>
      <c r="DX88" s="44"/>
      <c r="DY88" s="44"/>
      <c r="DZ88" s="44"/>
      <c r="EA88" s="44"/>
    </row>
    <row r="89" spans="1:131">
      <c r="A89" s="54"/>
      <c r="B89" s="55"/>
      <c r="C89" s="55"/>
      <c r="D89" s="68">
        <f t="shared" si="2"/>
        <v>0</v>
      </c>
      <c r="E89" s="70">
        <f t="shared" si="3"/>
        <v>0</v>
      </c>
      <c r="F89" s="63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  <c r="AV89" s="51"/>
      <c r="AW89" s="51"/>
      <c r="AX89" s="51"/>
      <c r="AY89" s="51"/>
      <c r="AZ89" s="51"/>
      <c r="BA89" s="51"/>
      <c r="BB89" s="51"/>
      <c r="BC89" s="51"/>
      <c r="BD89" s="51"/>
      <c r="BE89" s="51"/>
      <c r="BF89" s="51"/>
      <c r="BG89" s="51"/>
      <c r="BH89" s="51"/>
      <c r="BI89" s="51"/>
      <c r="BJ89" s="51"/>
      <c r="BK89" s="51"/>
      <c r="BL89" s="51"/>
      <c r="BM89" s="51"/>
      <c r="BN89" s="51"/>
      <c r="BO89" s="51"/>
      <c r="BP89" s="51"/>
      <c r="BQ89" s="51"/>
      <c r="BR89" s="51"/>
      <c r="BS89" s="51"/>
      <c r="BT89" s="51"/>
      <c r="BU89" s="51"/>
      <c r="BV89" s="51"/>
      <c r="BW89" s="51"/>
      <c r="BX89" s="51"/>
      <c r="BY89" s="51"/>
      <c r="BZ89" s="51"/>
      <c r="CA89" s="51"/>
      <c r="CB89" s="51"/>
      <c r="CC89" s="51"/>
      <c r="CD89" s="51"/>
      <c r="CE89" s="51"/>
      <c r="CF89" s="51"/>
      <c r="CG89" s="51"/>
      <c r="CH89" s="51"/>
      <c r="CI89" s="51"/>
      <c r="CJ89" s="51"/>
      <c r="CK89" s="51"/>
      <c r="CL89" s="51"/>
      <c r="CM89" s="51"/>
      <c r="CN89" s="51"/>
      <c r="CO89" s="51"/>
      <c r="CP89" s="51"/>
      <c r="CQ89" s="51"/>
      <c r="CR89" s="51"/>
      <c r="CS89" s="51"/>
      <c r="CT89" s="51"/>
      <c r="CU89" s="51"/>
      <c r="CV89" s="51"/>
      <c r="CW89" s="51"/>
      <c r="CX89" s="51"/>
      <c r="CY89" s="51"/>
      <c r="CZ89" s="51"/>
      <c r="DA89" s="51"/>
      <c r="DB89" s="51"/>
      <c r="DC89" s="51"/>
      <c r="DD89" s="51"/>
      <c r="DE89" s="51"/>
      <c r="DF89" s="51"/>
      <c r="DG89" s="51"/>
      <c r="DH89" s="51"/>
      <c r="DI89" s="51"/>
      <c r="DJ89" s="51"/>
      <c r="DK89" s="51"/>
      <c r="DL89" s="51"/>
      <c r="DM89" s="51"/>
      <c r="DN89" s="51"/>
      <c r="DO89" s="51"/>
      <c r="DP89" s="51"/>
      <c r="DQ89" s="51"/>
      <c r="DR89" s="51"/>
      <c r="DS89" s="51"/>
      <c r="DT89" s="51"/>
      <c r="DU89" s="51"/>
      <c r="DV89" s="51"/>
      <c r="DW89" s="51"/>
      <c r="DX89" s="51"/>
      <c r="DY89" s="51"/>
      <c r="DZ89" s="51"/>
      <c r="EA89" s="51"/>
    </row>
    <row r="90" spans="1:131">
      <c r="A90" s="39"/>
      <c r="B90" s="61"/>
      <c r="C90" s="61"/>
      <c r="D90" s="69">
        <f t="shared" si="2"/>
        <v>0</v>
      </c>
      <c r="E90" s="74">
        <f t="shared" si="3"/>
        <v>0</v>
      </c>
      <c r="F90" s="6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  <c r="CX90" s="44"/>
      <c r="CY90" s="44"/>
      <c r="CZ90" s="44"/>
      <c r="DA90" s="44"/>
      <c r="DB90" s="44"/>
      <c r="DC90" s="44"/>
      <c r="DD90" s="44"/>
      <c r="DE90" s="44"/>
      <c r="DF90" s="44"/>
      <c r="DG90" s="44"/>
      <c r="DH90" s="44"/>
      <c r="DI90" s="44"/>
      <c r="DJ90" s="44"/>
      <c r="DK90" s="44"/>
      <c r="DL90" s="44"/>
      <c r="DM90" s="44"/>
      <c r="DN90" s="44"/>
      <c r="DO90" s="44"/>
      <c r="DP90" s="44"/>
      <c r="DQ90" s="44"/>
      <c r="DR90" s="44"/>
      <c r="DS90" s="44"/>
      <c r="DT90" s="44"/>
      <c r="DU90" s="44"/>
      <c r="DV90" s="44"/>
      <c r="DW90" s="44"/>
      <c r="DX90" s="44"/>
      <c r="DY90" s="44"/>
      <c r="DZ90" s="44"/>
      <c r="EA90" s="44"/>
    </row>
    <row r="91" spans="1:131">
      <c r="A91" s="54"/>
      <c r="B91" s="55"/>
      <c r="C91" s="55"/>
      <c r="D91" s="68">
        <f t="shared" si="2"/>
        <v>0</v>
      </c>
      <c r="E91" s="70">
        <f t="shared" si="3"/>
        <v>0</v>
      </c>
      <c r="F91" s="63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/>
      <c r="AZ91" s="51"/>
      <c r="BA91" s="51"/>
      <c r="BB91" s="51"/>
      <c r="BC91" s="51"/>
      <c r="BD91" s="51"/>
      <c r="BE91" s="51"/>
      <c r="BF91" s="51"/>
      <c r="BG91" s="51"/>
      <c r="BH91" s="51"/>
      <c r="BI91" s="51"/>
      <c r="BJ91" s="51"/>
      <c r="BK91" s="51"/>
      <c r="BL91" s="51"/>
      <c r="BM91" s="51"/>
      <c r="BN91" s="51"/>
      <c r="BO91" s="51"/>
      <c r="BP91" s="51"/>
      <c r="BQ91" s="51"/>
      <c r="BR91" s="51"/>
      <c r="BS91" s="51"/>
      <c r="BT91" s="51"/>
      <c r="BU91" s="51"/>
      <c r="BV91" s="51"/>
      <c r="BW91" s="51"/>
      <c r="BX91" s="51"/>
      <c r="BY91" s="51"/>
      <c r="BZ91" s="51"/>
      <c r="CA91" s="51"/>
      <c r="CB91" s="51"/>
      <c r="CC91" s="51"/>
      <c r="CD91" s="51"/>
      <c r="CE91" s="51"/>
      <c r="CF91" s="51"/>
      <c r="CG91" s="51"/>
      <c r="CH91" s="51"/>
      <c r="CI91" s="51"/>
      <c r="CJ91" s="51"/>
      <c r="CK91" s="51"/>
      <c r="CL91" s="51"/>
      <c r="CM91" s="51"/>
      <c r="CN91" s="51"/>
      <c r="CO91" s="51"/>
      <c r="CP91" s="51"/>
      <c r="CQ91" s="51"/>
      <c r="CR91" s="51"/>
      <c r="CS91" s="51"/>
      <c r="CT91" s="51"/>
      <c r="CU91" s="51"/>
      <c r="CV91" s="51"/>
      <c r="CW91" s="51"/>
      <c r="CX91" s="51"/>
      <c r="CY91" s="51"/>
      <c r="CZ91" s="51"/>
      <c r="DA91" s="51"/>
      <c r="DB91" s="51"/>
      <c r="DC91" s="51"/>
      <c r="DD91" s="51"/>
      <c r="DE91" s="51"/>
      <c r="DF91" s="51"/>
      <c r="DG91" s="51"/>
      <c r="DH91" s="51"/>
      <c r="DI91" s="51"/>
      <c r="DJ91" s="51"/>
      <c r="DK91" s="51"/>
      <c r="DL91" s="51"/>
      <c r="DM91" s="51"/>
      <c r="DN91" s="51"/>
      <c r="DO91" s="51"/>
      <c r="DP91" s="51"/>
      <c r="DQ91" s="51"/>
      <c r="DR91" s="51"/>
      <c r="DS91" s="51"/>
      <c r="DT91" s="51"/>
      <c r="DU91" s="51"/>
      <c r="DV91" s="51"/>
      <c r="DW91" s="51"/>
      <c r="DX91" s="51"/>
      <c r="DY91" s="51"/>
      <c r="DZ91" s="51"/>
      <c r="EA91" s="51"/>
    </row>
    <row r="92" spans="1:131">
      <c r="A92" s="39"/>
      <c r="B92" s="61"/>
      <c r="C92" s="61"/>
      <c r="D92" s="69">
        <f t="shared" si="2"/>
        <v>0</v>
      </c>
      <c r="E92" s="74">
        <f t="shared" si="3"/>
        <v>0</v>
      </c>
      <c r="F92" s="6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/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  <c r="CX92" s="44"/>
      <c r="CY92" s="44"/>
      <c r="CZ92" s="44"/>
      <c r="DA92" s="44"/>
      <c r="DB92" s="44"/>
      <c r="DC92" s="44"/>
      <c r="DD92" s="44"/>
      <c r="DE92" s="44"/>
      <c r="DF92" s="44"/>
      <c r="DG92" s="44"/>
      <c r="DH92" s="44"/>
      <c r="DI92" s="44"/>
      <c r="DJ92" s="44"/>
      <c r="DK92" s="44"/>
      <c r="DL92" s="44"/>
      <c r="DM92" s="44"/>
      <c r="DN92" s="44"/>
      <c r="DO92" s="44"/>
      <c r="DP92" s="44"/>
      <c r="DQ92" s="44"/>
      <c r="DR92" s="44"/>
      <c r="DS92" s="44"/>
      <c r="DT92" s="44"/>
      <c r="DU92" s="44"/>
      <c r="DV92" s="44"/>
      <c r="DW92" s="44"/>
      <c r="DX92" s="44"/>
      <c r="DY92" s="44"/>
      <c r="DZ92" s="44"/>
      <c r="EA92" s="44"/>
    </row>
    <row r="93" spans="1:131">
      <c r="A93" s="54"/>
      <c r="B93" s="55"/>
      <c r="C93" s="55"/>
      <c r="D93" s="68">
        <f t="shared" si="2"/>
        <v>0</v>
      </c>
      <c r="E93" s="70">
        <f t="shared" si="3"/>
        <v>0</v>
      </c>
      <c r="F93" s="63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  <c r="AZ93" s="51"/>
      <c r="BA93" s="51"/>
      <c r="BB93" s="51"/>
      <c r="BC93" s="51"/>
      <c r="BD93" s="51"/>
      <c r="BE93" s="51"/>
      <c r="BF93" s="51"/>
      <c r="BG93" s="51"/>
      <c r="BH93" s="51"/>
      <c r="BI93" s="51"/>
      <c r="BJ93" s="51"/>
      <c r="BK93" s="51"/>
      <c r="BL93" s="51"/>
      <c r="BM93" s="51"/>
      <c r="BN93" s="51"/>
      <c r="BO93" s="51"/>
      <c r="BP93" s="51"/>
      <c r="BQ93" s="51"/>
      <c r="BR93" s="51"/>
      <c r="BS93" s="51"/>
      <c r="BT93" s="51"/>
      <c r="BU93" s="51"/>
      <c r="BV93" s="51"/>
      <c r="BW93" s="51"/>
      <c r="BX93" s="51"/>
      <c r="BY93" s="51"/>
      <c r="BZ93" s="51"/>
      <c r="CA93" s="51"/>
      <c r="CB93" s="51"/>
      <c r="CC93" s="51"/>
      <c r="CD93" s="51"/>
      <c r="CE93" s="51"/>
      <c r="CF93" s="51"/>
      <c r="CG93" s="51"/>
      <c r="CH93" s="51"/>
      <c r="CI93" s="51"/>
      <c r="CJ93" s="51"/>
      <c r="CK93" s="51"/>
      <c r="CL93" s="51"/>
      <c r="CM93" s="51"/>
      <c r="CN93" s="51"/>
      <c r="CO93" s="51"/>
      <c r="CP93" s="51"/>
      <c r="CQ93" s="51"/>
      <c r="CR93" s="51"/>
      <c r="CS93" s="51"/>
      <c r="CT93" s="51"/>
      <c r="CU93" s="51"/>
      <c r="CV93" s="51"/>
      <c r="CW93" s="51"/>
      <c r="CX93" s="51"/>
      <c r="CY93" s="51"/>
      <c r="CZ93" s="51"/>
      <c r="DA93" s="51"/>
      <c r="DB93" s="51"/>
      <c r="DC93" s="51"/>
      <c r="DD93" s="51"/>
      <c r="DE93" s="51"/>
      <c r="DF93" s="51"/>
      <c r="DG93" s="51"/>
      <c r="DH93" s="51"/>
      <c r="DI93" s="51"/>
      <c r="DJ93" s="51"/>
      <c r="DK93" s="51"/>
      <c r="DL93" s="51"/>
      <c r="DM93" s="51"/>
      <c r="DN93" s="51"/>
      <c r="DO93" s="51"/>
      <c r="DP93" s="51"/>
      <c r="DQ93" s="51"/>
      <c r="DR93" s="51"/>
      <c r="DS93" s="51"/>
      <c r="DT93" s="51"/>
      <c r="DU93" s="51"/>
      <c r="DV93" s="51"/>
      <c r="DW93" s="51"/>
      <c r="DX93" s="51"/>
      <c r="DY93" s="51"/>
      <c r="DZ93" s="51"/>
      <c r="EA93" s="51"/>
    </row>
    <row r="94" spans="1:131">
      <c r="A94" s="39"/>
      <c r="B94" s="61"/>
      <c r="C94" s="61"/>
      <c r="D94" s="69">
        <f t="shared" si="2"/>
        <v>0</v>
      </c>
      <c r="E94" s="74">
        <f t="shared" si="3"/>
        <v>0</v>
      </c>
      <c r="F94" s="6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4"/>
      <c r="BI94" s="4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  <c r="CX94" s="44"/>
      <c r="CY94" s="44"/>
      <c r="CZ94" s="44"/>
      <c r="DA94" s="44"/>
      <c r="DB94" s="44"/>
      <c r="DC94" s="44"/>
      <c r="DD94" s="44"/>
      <c r="DE94" s="44"/>
      <c r="DF94" s="44"/>
      <c r="DG94" s="44"/>
      <c r="DH94" s="44"/>
      <c r="DI94" s="44"/>
      <c r="DJ94" s="44"/>
      <c r="DK94" s="44"/>
      <c r="DL94" s="44"/>
      <c r="DM94" s="44"/>
      <c r="DN94" s="44"/>
      <c r="DO94" s="44"/>
      <c r="DP94" s="44"/>
      <c r="DQ94" s="44"/>
      <c r="DR94" s="44"/>
      <c r="DS94" s="44"/>
      <c r="DT94" s="44"/>
      <c r="DU94" s="44"/>
      <c r="DV94" s="44"/>
      <c r="DW94" s="44"/>
      <c r="DX94" s="44"/>
      <c r="DY94" s="44"/>
      <c r="DZ94" s="44"/>
      <c r="EA94" s="44"/>
    </row>
    <row r="95" spans="1:131">
      <c r="A95" s="54"/>
      <c r="B95" s="55"/>
      <c r="C95" s="55"/>
      <c r="D95" s="68">
        <f t="shared" si="2"/>
        <v>0</v>
      </c>
      <c r="E95" s="70">
        <f t="shared" si="3"/>
        <v>0</v>
      </c>
      <c r="F95" s="63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  <c r="BG95" s="51"/>
      <c r="BH95" s="51"/>
      <c r="BI95" s="51"/>
      <c r="BJ95" s="51"/>
      <c r="BK95" s="51"/>
      <c r="BL95" s="51"/>
      <c r="BM95" s="51"/>
      <c r="BN95" s="51"/>
      <c r="BO95" s="51"/>
      <c r="BP95" s="51"/>
      <c r="BQ95" s="51"/>
      <c r="BR95" s="51"/>
      <c r="BS95" s="51"/>
      <c r="BT95" s="51"/>
      <c r="BU95" s="51"/>
      <c r="BV95" s="51"/>
      <c r="BW95" s="51"/>
      <c r="BX95" s="51"/>
      <c r="BY95" s="51"/>
      <c r="BZ95" s="51"/>
      <c r="CA95" s="51"/>
      <c r="CB95" s="51"/>
      <c r="CC95" s="51"/>
      <c r="CD95" s="51"/>
      <c r="CE95" s="51"/>
      <c r="CF95" s="51"/>
      <c r="CG95" s="51"/>
      <c r="CH95" s="51"/>
      <c r="CI95" s="51"/>
      <c r="CJ95" s="51"/>
      <c r="CK95" s="51"/>
      <c r="CL95" s="51"/>
      <c r="CM95" s="51"/>
      <c r="CN95" s="51"/>
      <c r="CO95" s="51"/>
      <c r="CP95" s="51"/>
      <c r="CQ95" s="51"/>
      <c r="CR95" s="51"/>
      <c r="CS95" s="51"/>
      <c r="CT95" s="51"/>
      <c r="CU95" s="51"/>
      <c r="CV95" s="51"/>
      <c r="CW95" s="51"/>
      <c r="CX95" s="51"/>
      <c r="CY95" s="51"/>
      <c r="CZ95" s="51"/>
      <c r="DA95" s="51"/>
      <c r="DB95" s="51"/>
      <c r="DC95" s="51"/>
      <c r="DD95" s="51"/>
      <c r="DE95" s="51"/>
      <c r="DF95" s="51"/>
      <c r="DG95" s="51"/>
      <c r="DH95" s="51"/>
      <c r="DI95" s="51"/>
      <c r="DJ95" s="51"/>
      <c r="DK95" s="51"/>
      <c r="DL95" s="51"/>
      <c r="DM95" s="51"/>
      <c r="DN95" s="51"/>
      <c r="DO95" s="51"/>
      <c r="DP95" s="51"/>
      <c r="DQ95" s="51"/>
      <c r="DR95" s="51"/>
      <c r="DS95" s="51"/>
      <c r="DT95" s="51"/>
      <c r="DU95" s="51"/>
      <c r="DV95" s="51"/>
      <c r="DW95" s="51"/>
      <c r="DX95" s="51"/>
      <c r="DY95" s="51"/>
      <c r="DZ95" s="51"/>
      <c r="EA95" s="51"/>
    </row>
    <row r="96" spans="1:131">
      <c r="A96" s="39"/>
      <c r="B96" s="61"/>
      <c r="C96" s="61"/>
      <c r="D96" s="69">
        <f t="shared" si="2"/>
        <v>0</v>
      </c>
      <c r="E96" s="74">
        <f t="shared" si="3"/>
        <v>0</v>
      </c>
      <c r="F96" s="6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  <c r="CX96" s="44"/>
      <c r="CY96" s="44"/>
      <c r="CZ96" s="44"/>
      <c r="DA96" s="44"/>
      <c r="DB96" s="44"/>
      <c r="DC96" s="44"/>
      <c r="DD96" s="44"/>
      <c r="DE96" s="44"/>
      <c r="DF96" s="44"/>
      <c r="DG96" s="44"/>
      <c r="DH96" s="44"/>
      <c r="DI96" s="44"/>
      <c r="DJ96" s="44"/>
      <c r="DK96" s="44"/>
      <c r="DL96" s="44"/>
      <c r="DM96" s="44"/>
      <c r="DN96" s="44"/>
      <c r="DO96" s="44"/>
      <c r="DP96" s="44"/>
      <c r="DQ96" s="44"/>
      <c r="DR96" s="44"/>
      <c r="DS96" s="44"/>
      <c r="DT96" s="44"/>
      <c r="DU96" s="44"/>
      <c r="DV96" s="44"/>
      <c r="DW96" s="44"/>
      <c r="DX96" s="44"/>
      <c r="DY96" s="44"/>
      <c r="DZ96" s="44"/>
      <c r="EA96" s="44"/>
    </row>
    <row r="97" spans="1:131">
      <c r="A97" s="54"/>
      <c r="B97" s="55"/>
      <c r="C97" s="55"/>
      <c r="D97" s="68">
        <f t="shared" si="2"/>
        <v>0</v>
      </c>
      <c r="E97" s="70">
        <f t="shared" si="3"/>
        <v>0</v>
      </c>
      <c r="F97" s="63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  <c r="BG97" s="51"/>
      <c r="BH97" s="51"/>
      <c r="BI97" s="51"/>
      <c r="BJ97" s="51"/>
      <c r="BK97" s="51"/>
      <c r="BL97" s="51"/>
      <c r="BM97" s="51"/>
      <c r="BN97" s="51"/>
      <c r="BO97" s="51"/>
      <c r="BP97" s="51"/>
      <c r="BQ97" s="51"/>
      <c r="BR97" s="51"/>
      <c r="BS97" s="51"/>
      <c r="BT97" s="51"/>
      <c r="BU97" s="51"/>
      <c r="BV97" s="51"/>
      <c r="BW97" s="51"/>
      <c r="BX97" s="51"/>
      <c r="BY97" s="51"/>
      <c r="BZ97" s="51"/>
      <c r="CA97" s="51"/>
      <c r="CB97" s="51"/>
      <c r="CC97" s="51"/>
      <c r="CD97" s="51"/>
      <c r="CE97" s="51"/>
      <c r="CF97" s="51"/>
      <c r="CG97" s="51"/>
      <c r="CH97" s="51"/>
      <c r="CI97" s="51"/>
      <c r="CJ97" s="51"/>
      <c r="CK97" s="51"/>
      <c r="CL97" s="51"/>
      <c r="CM97" s="51"/>
      <c r="CN97" s="51"/>
      <c r="CO97" s="51"/>
      <c r="CP97" s="51"/>
      <c r="CQ97" s="51"/>
      <c r="CR97" s="51"/>
      <c r="CS97" s="51"/>
      <c r="CT97" s="51"/>
      <c r="CU97" s="51"/>
      <c r="CV97" s="51"/>
      <c r="CW97" s="51"/>
      <c r="CX97" s="51"/>
      <c r="CY97" s="51"/>
      <c r="CZ97" s="51"/>
      <c r="DA97" s="51"/>
      <c r="DB97" s="51"/>
      <c r="DC97" s="51"/>
      <c r="DD97" s="51"/>
      <c r="DE97" s="51"/>
      <c r="DF97" s="51"/>
      <c r="DG97" s="51"/>
      <c r="DH97" s="51"/>
      <c r="DI97" s="51"/>
      <c r="DJ97" s="51"/>
      <c r="DK97" s="51"/>
      <c r="DL97" s="51"/>
      <c r="DM97" s="51"/>
      <c r="DN97" s="51"/>
      <c r="DO97" s="51"/>
      <c r="DP97" s="51"/>
      <c r="DQ97" s="51"/>
      <c r="DR97" s="51"/>
      <c r="DS97" s="51"/>
      <c r="DT97" s="51"/>
      <c r="DU97" s="51"/>
      <c r="DV97" s="51"/>
      <c r="DW97" s="51"/>
      <c r="DX97" s="51"/>
      <c r="DY97" s="51"/>
      <c r="DZ97" s="51"/>
      <c r="EA97" s="51"/>
    </row>
    <row r="98" spans="1:131">
      <c r="A98" s="39"/>
      <c r="B98" s="61"/>
      <c r="C98" s="61"/>
      <c r="D98" s="69">
        <f t="shared" si="2"/>
        <v>0</v>
      </c>
      <c r="E98" s="74">
        <f t="shared" si="3"/>
        <v>0</v>
      </c>
      <c r="F98" s="6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/>
      <c r="BI98" s="4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  <c r="CX98" s="44"/>
      <c r="CY98" s="44"/>
      <c r="CZ98" s="44"/>
      <c r="DA98" s="44"/>
      <c r="DB98" s="44"/>
      <c r="DC98" s="44"/>
      <c r="DD98" s="44"/>
      <c r="DE98" s="44"/>
      <c r="DF98" s="44"/>
      <c r="DG98" s="44"/>
      <c r="DH98" s="44"/>
      <c r="DI98" s="44"/>
      <c r="DJ98" s="44"/>
      <c r="DK98" s="44"/>
      <c r="DL98" s="44"/>
      <c r="DM98" s="44"/>
      <c r="DN98" s="44"/>
      <c r="DO98" s="44"/>
      <c r="DP98" s="44"/>
      <c r="DQ98" s="44"/>
      <c r="DR98" s="44"/>
      <c r="DS98" s="44"/>
      <c r="DT98" s="44"/>
      <c r="DU98" s="44"/>
      <c r="DV98" s="44"/>
      <c r="DW98" s="44"/>
      <c r="DX98" s="44"/>
      <c r="DY98" s="44"/>
      <c r="DZ98" s="44"/>
      <c r="EA98" s="44"/>
    </row>
    <row r="99" spans="1:131">
      <c r="A99" s="54"/>
      <c r="B99" s="55"/>
      <c r="C99" s="55"/>
      <c r="D99" s="68">
        <f t="shared" si="2"/>
        <v>0</v>
      </c>
      <c r="E99" s="70">
        <f t="shared" si="3"/>
        <v>0</v>
      </c>
      <c r="F99" s="63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  <c r="AX99" s="51"/>
      <c r="AY99" s="51"/>
      <c r="AZ99" s="51"/>
      <c r="BA99" s="51"/>
      <c r="BB99" s="51"/>
      <c r="BC99" s="51"/>
      <c r="BD99" s="51"/>
      <c r="BE99" s="51"/>
      <c r="BF99" s="51"/>
      <c r="BG99" s="51"/>
      <c r="BH99" s="51"/>
      <c r="BI99" s="51"/>
      <c r="BJ99" s="51"/>
      <c r="BK99" s="51"/>
      <c r="BL99" s="51"/>
      <c r="BM99" s="51"/>
      <c r="BN99" s="51"/>
      <c r="BO99" s="51"/>
      <c r="BP99" s="51"/>
      <c r="BQ99" s="51"/>
      <c r="BR99" s="51"/>
      <c r="BS99" s="51"/>
      <c r="BT99" s="51"/>
      <c r="BU99" s="51"/>
      <c r="BV99" s="51"/>
      <c r="BW99" s="51"/>
      <c r="BX99" s="51"/>
      <c r="BY99" s="51"/>
      <c r="BZ99" s="51"/>
      <c r="CA99" s="51"/>
      <c r="CB99" s="51"/>
      <c r="CC99" s="51"/>
      <c r="CD99" s="51"/>
      <c r="CE99" s="51"/>
      <c r="CF99" s="51"/>
      <c r="CG99" s="51"/>
      <c r="CH99" s="51"/>
      <c r="CI99" s="51"/>
      <c r="CJ99" s="51"/>
      <c r="CK99" s="51"/>
      <c r="CL99" s="51"/>
      <c r="CM99" s="51"/>
      <c r="CN99" s="51"/>
      <c r="CO99" s="51"/>
      <c r="CP99" s="51"/>
      <c r="CQ99" s="51"/>
      <c r="CR99" s="51"/>
      <c r="CS99" s="51"/>
      <c r="CT99" s="51"/>
      <c r="CU99" s="51"/>
      <c r="CV99" s="51"/>
      <c r="CW99" s="51"/>
      <c r="CX99" s="51"/>
      <c r="CY99" s="51"/>
      <c r="CZ99" s="51"/>
      <c r="DA99" s="51"/>
      <c r="DB99" s="51"/>
      <c r="DC99" s="51"/>
      <c r="DD99" s="51"/>
      <c r="DE99" s="51"/>
      <c r="DF99" s="51"/>
      <c r="DG99" s="51"/>
      <c r="DH99" s="51"/>
      <c r="DI99" s="51"/>
      <c r="DJ99" s="51"/>
      <c r="DK99" s="51"/>
      <c r="DL99" s="51"/>
      <c r="DM99" s="51"/>
      <c r="DN99" s="51"/>
      <c r="DO99" s="51"/>
      <c r="DP99" s="51"/>
      <c r="DQ99" s="51"/>
      <c r="DR99" s="51"/>
      <c r="DS99" s="51"/>
      <c r="DT99" s="51"/>
      <c r="DU99" s="51"/>
      <c r="DV99" s="51"/>
      <c r="DW99" s="51"/>
      <c r="DX99" s="51"/>
      <c r="DY99" s="51"/>
      <c r="DZ99" s="51"/>
      <c r="EA99" s="51"/>
    </row>
    <row r="100" spans="1:131">
      <c r="A100" s="39"/>
      <c r="B100" s="61"/>
      <c r="C100" s="61"/>
      <c r="D100" s="69">
        <f t="shared" si="2"/>
        <v>0</v>
      </c>
      <c r="E100" s="74">
        <f t="shared" si="3"/>
        <v>0</v>
      </c>
      <c r="F100" s="6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  <c r="CX100" s="44"/>
      <c r="CY100" s="44"/>
      <c r="CZ100" s="44"/>
      <c r="DA100" s="44"/>
      <c r="DB100" s="44"/>
      <c r="DC100" s="44"/>
      <c r="DD100" s="44"/>
      <c r="DE100" s="44"/>
      <c r="DF100" s="44"/>
      <c r="DG100" s="44"/>
      <c r="DH100" s="44"/>
      <c r="DI100" s="44"/>
      <c r="DJ100" s="44"/>
      <c r="DK100" s="44"/>
      <c r="DL100" s="44"/>
      <c r="DM100" s="44"/>
      <c r="DN100" s="44"/>
      <c r="DO100" s="44"/>
      <c r="DP100" s="44"/>
      <c r="DQ100" s="44"/>
      <c r="DR100" s="44"/>
      <c r="DS100" s="44"/>
      <c r="DT100" s="44"/>
      <c r="DU100" s="44"/>
      <c r="DV100" s="44"/>
      <c r="DW100" s="44"/>
      <c r="DX100" s="44"/>
      <c r="DY100" s="44"/>
      <c r="DZ100" s="44"/>
      <c r="EA100" s="44"/>
    </row>
    <row r="101" spans="1:131">
      <c r="A101" s="54"/>
      <c r="B101" s="55"/>
      <c r="C101" s="55"/>
      <c r="D101" s="68">
        <f t="shared" si="2"/>
        <v>0</v>
      </c>
      <c r="E101" s="70">
        <f t="shared" si="3"/>
        <v>0</v>
      </c>
      <c r="F101" s="63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  <c r="AZ101" s="51"/>
      <c r="BA101" s="51"/>
      <c r="BB101" s="51"/>
      <c r="BC101" s="51"/>
      <c r="BD101" s="51"/>
      <c r="BE101" s="51"/>
      <c r="BF101" s="51"/>
      <c r="BG101" s="51"/>
      <c r="BH101" s="51"/>
      <c r="BI101" s="51"/>
      <c r="BJ101" s="51"/>
      <c r="BK101" s="51"/>
      <c r="BL101" s="51"/>
      <c r="BM101" s="51"/>
      <c r="BN101" s="51"/>
      <c r="BO101" s="51"/>
      <c r="BP101" s="51"/>
      <c r="BQ101" s="51"/>
      <c r="BR101" s="51"/>
      <c r="BS101" s="51"/>
      <c r="BT101" s="51"/>
      <c r="BU101" s="51"/>
      <c r="BV101" s="51"/>
      <c r="BW101" s="51"/>
      <c r="BX101" s="51"/>
      <c r="BY101" s="51"/>
      <c r="BZ101" s="51"/>
      <c r="CA101" s="51"/>
      <c r="CB101" s="51"/>
      <c r="CC101" s="51"/>
      <c r="CD101" s="51"/>
      <c r="CE101" s="51"/>
      <c r="CF101" s="51"/>
      <c r="CG101" s="51"/>
      <c r="CH101" s="51"/>
      <c r="CI101" s="51"/>
      <c r="CJ101" s="51"/>
      <c r="CK101" s="51"/>
      <c r="CL101" s="51"/>
      <c r="CM101" s="51"/>
      <c r="CN101" s="51"/>
      <c r="CO101" s="51"/>
      <c r="CP101" s="51"/>
      <c r="CQ101" s="51"/>
      <c r="CR101" s="51"/>
      <c r="CS101" s="51"/>
      <c r="CT101" s="51"/>
      <c r="CU101" s="51"/>
      <c r="CV101" s="51"/>
      <c r="CW101" s="51"/>
      <c r="CX101" s="51"/>
      <c r="CY101" s="51"/>
      <c r="CZ101" s="51"/>
      <c r="DA101" s="51"/>
      <c r="DB101" s="51"/>
      <c r="DC101" s="51"/>
      <c r="DD101" s="51"/>
      <c r="DE101" s="51"/>
      <c r="DF101" s="51"/>
      <c r="DG101" s="51"/>
      <c r="DH101" s="51"/>
      <c r="DI101" s="51"/>
      <c r="DJ101" s="51"/>
      <c r="DK101" s="51"/>
      <c r="DL101" s="51"/>
      <c r="DM101" s="51"/>
      <c r="DN101" s="51"/>
      <c r="DO101" s="51"/>
      <c r="DP101" s="51"/>
      <c r="DQ101" s="51"/>
      <c r="DR101" s="51"/>
      <c r="DS101" s="51"/>
      <c r="DT101" s="51"/>
      <c r="DU101" s="51"/>
      <c r="DV101" s="51"/>
      <c r="DW101" s="51"/>
      <c r="DX101" s="51"/>
      <c r="DY101" s="51"/>
      <c r="DZ101" s="51"/>
      <c r="EA101" s="51"/>
    </row>
    <row r="102" spans="1:131">
      <c r="A102" s="39"/>
      <c r="B102" s="61"/>
      <c r="C102" s="61"/>
      <c r="D102" s="69">
        <f t="shared" si="2"/>
        <v>0</v>
      </c>
      <c r="E102" s="74">
        <f t="shared" si="3"/>
        <v>0</v>
      </c>
      <c r="F102" s="6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  <c r="CX102" s="44"/>
      <c r="CY102" s="44"/>
      <c r="CZ102" s="44"/>
      <c r="DA102" s="44"/>
      <c r="DB102" s="44"/>
      <c r="DC102" s="44"/>
      <c r="DD102" s="44"/>
      <c r="DE102" s="44"/>
      <c r="DF102" s="44"/>
      <c r="DG102" s="44"/>
      <c r="DH102" s="44"/>
      <c r="DI102" s="44"/>
      <c r="DJ102" s="44"/>
      <c r="DK102" s="44"/>
      <c r="DL102" s="44"/>
      <c r="DM102" s="44"/>
      <c r="DN102" s="44"/>
      <c r="DO102" s="44"/>
      <c r="DP102" s="44"/>
      <c r="DQ102" s="44"/>
      <c r="DR102" s="44"/>
      <c r="DS102" s="44"/>
      <c r="DT102" s="44"/>
      <c r="DU102" s="44"/>
      <c r="DV102" s="44"/>
      <c r="DW102" s="44"/>
      <c r="DX102" s="44"/>
      <c r="DY102" s="44"/>
      <c r="DZ102" s="44"/>
      <c r="EA102" s="44"/>
    </row>
    <row r="103" spans="1:131">
      <c r="A103" s="54"/>
      <c r="B103" s="55"/>
      <c r="C103" s="55"/>
      <c r="D103" s="68">
        <f t="shared" si="2"/>
        <v>0</v>
      </c>
      <c r="E103" s="70">
        <f t="shared" si="3"/>
        <v>0</v>
      </c>
      <c r="F103" s="63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  <c r="AZ103" s="51"/>
      <c r="BA103" s="51"/>
      <c r="BB103" s="51"/>
      <c r="BC103" s="51"/>
      <c r="BD103" s="51"/>
      <c r="BE103" s="51"/>
      <c r="BF103" s="51"/>
      <c r="BG103" s="51"/>
      <c r="BH103" s="51"/>
      <c r="BI103" s="51"/>
      <c r="BJ103" s="51"/>
      <c r="BK103" s="51"/>
      <c r="BL103" s="51"/>
      <c r="BM103" s="51"/>
      <c r="BN103" s="51"/>
      <c r="BO103" s="51"/>
      <c r="BP103" s="51"/>
      <c r="BQ103" s="51"/>
      <c r="BR103" s="51"/>
      <c r="BS103" s="51"/>
      <c r="BT103" s="51"/>
      <c r="BU103" s="51"/>
      <c r="BV103" s="51"/>
      <c r="BW103" s="51"/>
      <c r="BX103" s="51"/>
      <c r="BY103" s="51"/>
      <c r="BZ103" s="51"/>
      <c r="CA103" s="51"/>
      <c r="CB103" s="51"/>
      <c r="CC103" s="51"/>
      <c r="CD103" s="51"/>
      <c r="CE103" s="51"/>
      <c r="CF103" s="51"/>
      <c r="CG103" s="51"/>
      <c r="CH103" s="51"/>
      <c r="CI103" s="51"/>
      <c r="CJ103" s="51"/>
      <c r="CK103" s="51"/>
      <c r="CL103" s="51"/>
      <c r="CM103" s="51"/>
      <c r="CN103" s="51"/>
      <c r="CO103" s="51"/>
      <c r="CP103" s="51"/>
      <c r="CQ103" s="51"/>
      <c r="CR103" s="51"/>
      <c r="CS103" s="51"/>
      <c r="CT103" s="51"/>
      <c r="CU103" s="51"/>
      <c r="CV103" s="51"/>
      <c r="CW103" s="51"/>
      <c r="CX103" s="51"/>
      <c r="CY103" s="51"/>
      <c r="CZ103" s="51"/>
      <c r="DA103" s="51"/>
      <c r="DB103" s="51"/>
      <c r="DC103" s="51"/>
      <c r="DD103" s="51"/>
      <c r="DE103" s="51"/>
      <c r="DF103" s="51"/>
      <c r="DG103" s="51"/>
      <c r="DH103" s="51"/>
      <c r="DI103" s="51"/>
      <c r="DJ103" s="51"/>
      <c r="DK103" s="51"/>
      <c r="DL103" s="51"/>
      <c r="DM103" s="51"/>
      <c r="DN103" s="51"/>
      <c r="DO103" s="51"/>
      <c r="DP103" s="51"/>
      <c r="DQ103" s="51"/>
      <c r="DR103" s="51"/>
      <c r="DS103" s="51"/>
      <c r="DT103" s="51"/>
      <c r="DU103" s="51"/>
      <c r="DV103" s="51"/>
      <c r="DW103" s="51"/>
      <c r="DX103" s="51"/>
      <c r="DY103" s="51"/>
      <c r="DZ103" s="51"/>
      <c r="EA103" s="51"/>
    </row>
    <row r="104" spans="1:131">
      <c r="A104" s="39"/>
      <c r="B104" s="61"/>
      <c r="C104" s="61"/>
      <c r="D104" s="69">
        <f t="shared" si="2"/>
        <v>0</v>
      </c>
      <c r="E104" s="74">
        <f t="shared" si="3"/>
        <v>0</v>
      </c>
      <c r="F104" s="6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/>
      <c r="BI104" s="44"/>
      <c r="BJ104" s="44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  <c r="CX104" s="44"/>
      <c r="CY104" s="44"/>
      <c r="CZ104" s="44"/>
      <c r="DA104" s="44"/>
      <c r="DB104" s="44"/>
      <c r="DC104" s="44"/>
      <c r="DD104" s="44"/>
      <c r="DE104" s="44"/>
      <c r="DF104" s="44"/>
      <c r="DG104" s="44"/>
      <c r="DH104" s="44"/>
      <c r="DI104" s="44"/>
      <c r="DJ104" s="44"/>
      <c r="DK104" s="44"/>
      <c r="DL104" s="44"/>
      <c r="DM104" s="44"/>
      <c r="DN104" s="44"/>
      <c r="DO104" s="44"/>
      <c r="DP104" s="44"/>
      <c r="DQ104" s="44"/>
      <c r="DR104" s="44"/>
      <c r="DS104" s="44"/>
      <c r="DT104" s="44"/>
      <c r="DU104" s="44"/>
      <c r="DV104" s="44"/>
      <c r="DW104" s="44"/>
      <c r="DX104" s="44"/>
      <c r="DY104" s="44"/>
      <c r="DZ104" s="44"/>
      <c r="EA104" s="44"/>
    </row>
    <row r="105" spans="1:131">
      <c r="A105" s="54"/>
      <c r="B105" s="55"/>
      <c r="C105" s="55"/>
      <c r="D105" s="68">
        <f t="shared" si="2"/>
        <v>0</v>
      </c>
      <c r="E105" s="70">
        <f t="shared" si="3"/>
        <v>0</v>
      </c>
      <c r="F105" s="63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  <c r="BA105" s="51"/>
      <c r="BB105" s="51"/>
      <c r="BC105" s="51"/>
      <c r="BD105" s="51"/>
      <c r="BE105" s="51"/>
      <c r="BF105" s="51"/>
      <c r="BG105" s="51"/>
      <c r="BH105" s="51"/>
      <c r="BI105" s="51"/>
      <c r="BJ105" s="51"/>
      <c r="BK105" s="51"/>
      <c r="BL105" s="51"/>
      <c r="BM105" s="51"/>
      <c r="BN105" s="51"/>
      <c r="BO105" s="51"/>
      <c r="BP105" s="51"/>
      <c r="BQ105" s="51"/>
      <c r="BR105" s="51"/>
      <c r="BS105" s="51"/>
      <c r="BT105" s="51"/>
      <c r="BU105" s="51"/>
      <c r="BV105" s="51"/>
      <c r="BW105" s="51"/>
      <c r="BX105" s="51"/>
      <c r="BY105" s="51"/>
      <c r="BZ105" s="51"/>
      <c r="CA105" s="51"/>
      <c r="CB105" s="51"/>
      <c r="CC105" s="51"/>
      <c r="CD105" s="51"/>
      <c r="CE105" s="51"/>
      <c r="CF105" s="51"/>
      <c r="CG105" s="51"/>
      <c r="CH105" s="51"/>
      <c r="CI105" s="51"/>
      <c r="CJ105" s="51"/>
      <c r="CK105" s="51"/>
      <c r="CL105" s="51"/>
      <c r="CM105" s="51"/>
      <c r="CN105" s="51"/>
      <c r="CO105" s="51"/>
      <c r="CP105" s="51"/>
      <c r="CQ105" s="51"/>
      <c r="CR105" s="51"/>
      <c r="CS105" s="51"/>
      <c r="CT105" s="51"/>
      <c r="CU105" s="51"/>
      <c r="CV105" s="51"/>
      <c r="CW105" s="51"/>
      <c r="CX105" s="51"/>
      <c r="CY105" s="51"/>
      <c r="CZ105" s="51"/>
      <c r="DA105" s="51"/>
      <c r="DB105" s="51"/>
      <c r="DC105" s="51"/>
      <c r="DD105" s="51"/>
      <c r="DE105" s="51"/>
      <c r="DF105" s="51"/>
      <c r="DG105" s="51"/>
      <c r="DH105" s="51"/>
      <c r="DI105" s="51"/>
      <c r="DJ105" s="51"/>
      <c r="DK105" s="51"/>
      <c r="DL105" s="51"/>
      <c r="DM105" s="51"/>
      <c r="DN105" s="51"/>
      <c r="DO105" s="51"/>
      <c r="DP105" s="51"/>
      <c r="DQ105" s="51"/>
      <c r="DR105" s="51"/>
      <c r="DS105" s="51"/>
      <c r="DT105" s="51"/>
      <c r="DU105" s="51"/>
      <c r="DV105" s="51"/>
      <c r="DW105" s="51"/>
      <c r="DX105" s="51"/>
      <c r="DY105" s="51"/>
      <c r="DZ105" s="51"/>
      <c r="EA105" s="51"/>
    </row>
    <row r="106" spans="1:131">
      <c r="A106" s="39"/>
      <c r="B106" s="61"/>
      <c r="C106" s="61"/>
      <c r="D106" s="69">
        <f t="shared" si="2"/>
        <v>0</v>
      </c>
      <c r="E106" s="74">
        <f t="shared" si="3"/>
        <v>0</v>
      </c>
      <c r="F106" s="6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  <c r="CX106" s="44"/>
      <c r="CY106" s="44"/>
      <c r="CZ106" s="44"/>
      <c r="DA106" s="44"/>
      <c r="DB106" s="44"/>
      <c r="DC106" s="44"/>
      <c r="DD106" s="44"/>
      <c r="DE106" s="44"/>
      <c r="DF106" s="44"/>
      <c r="DG106" s="44"/>
      <c r="DH106" s="44"/>
      <c r="DI106" s="44"/>
      <c r="DJ106" s="44"/>
      <c r="DK106" s="44"/>
      <c r="DL106" s="44"/>
      <c r="DM106" s="44"/>
      <c r="DN106" s="44"/>
      <c r="DO106" s="44"/>
      <c r="DP106" s="44"/>
      <c r="DQ106" s="44"/>
      <c r="DR106" s="44"/>
      <c r="DS106" s="44"/>
      <c r="DT106" s="44"/>
      <c r="DU106" s="44"/>
      <c r="DV106" s="44"/>
      <c r="DW106" s="44"/>
      <c r="DX106" s="44"/>
      <c r="DY106" s="44"/>
      <c r="DZ106" s="44"/>
      <c r="EA106" s="44"/>
    </row>
    <row r="107" spans="1:131">
      <c r="A107" s="54"/>
      <c r="B107" s="55"/>
      <c r="C107" s="55"/>
      <c r="D107" s="68">
        <f t="shared" si="2"/>
        <v>0</v>
      </c>
      <c r="E107" s="70">
        <f t="shared" si="3"/>
        <v>0</v>
      </c>
      <c r="F107" s="63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  <c r="AZ107" s="51"/>
      <c r="BA107" s="51"/>
      <c r="BB107" s="51"/>
      <c r="BC107" s="51"/>
      <c r="BD107" s="51"/>
      <c r="BE107" s="51"/>
      <c r="BF107" s="51"/>
      <c r="BG107" s="51"/>
      <c r="BH107" s="51"/>
      <c r="BI107" s="51"/>
      <c r="BJ107" s="51"/>
      <c r="BK107" s="51"/>
      <c r="BL107" s="51"/>
      <c r="BM107" s="51"/>
      <c r="BN107" s="51"/>
      <c r="BO107" s="51"/>
      <c r="BP107" s="51"/>
      <c r="BQ107" s="51"/>
      <c r="BR107" s="51"/>
      <c r="BS107" s="51"/>
      <c r="BT107" s="51"/>
      <c r="BU107" s="51"/>
      <c r="BV107" s="51"/>
      <c r="BW107" s="51"/>
      <c r="BX107" s="51"/>
      <c r="BY107" s="51"/>
      <c r="BZ107" s="51"/>
      <c r="CA107" s="51"/>
      <c r="CB107" s="51"/>
      <c r="CC107" s="51"/>
      <c r="CD107" s="51"/>
      <c r="CE107" s="51"/>
      <c r="CF107" s="51"/>
      <c r="CG107" s="51"/>
      <c r="CH107" s="51"/>
      <c r="CI107" s="51"/>
      <c r="CJ107" s="51"/>
      <c r="CK107" s="51"/>
      <c r="CL107" s="51"/>
      <c r="CM107" s="51"/>
      <c r="CN107" s="51"/>
      <c r="CO107" s="51"/>
      <c r="CP107" s="51"/>
      <c r="CQ107" s="51"/>
      <c r="CR107" s="51"/>
      <c r="CS107" s="51"/>
      <c r="CT107" s="51"/>
      <c r="CU107" s="51"/>
      <c r="CV107" s="51"/>
      <c r="CW107" s="51"/>
      <c r="CX107" s="51"/>
      <c r="CY107" s="51"/>
      <c r="CZ107" s="51"/>
      <c r="DA107" s="51"/>
      <c r="DB107" s="51"/>
      <c r="DC107" s="51"/>
      <c r="DD107" s="51"/>
      <c r="DE107" s="51"/>
      <c r="DF107" s="51"/>
      <c r="DG107" s="51"/>
      <c r="DH107" s="51"/>
      <c r="DI107" s="51"/>
      <c r="DJ107" s="51"/>
      <c r="DK107" s="51"/>
      <c r="DL107" s="51"/>
      <c r="DM107" s="51"/>
      <c r="DN107" s="51"/>
      <c r="DO107" s="51"/>
      <c r="DP107" s="51"/>
      <c r="DQ107" s="51"/>
      <c r="DR107" s="51"/>
      <c r="DS107" s="51"/>
      <c r="DT107" s="51"/>
      <c r="DU107" s="51"/>
      <c r="DV107" s="51"/>
      <c r="DW107" s="51"/>
      <c r="DX107" s="51"/>
      <c r="DY107" s="51"/>
      <c r="DZ107" s="51"/>
      <c r="EA107" s="51"/>
    </row>
    <row r="108" spans="1:131">
      <c r="A108" s="39"/>
      <c r="B108" s="61"/>
      <c r="C108" s="61"/>
      <c r="D108" s="69">
        <f t="shared" si="2"/>
        <v>0</v>
      </c>
      <c r="E108" s="74">
        <f t="shared" si="3"/>
        <v>0</v>
      </c>
      <c r="F108" s="6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  <c r="CX108" s="44"/>
      <c r="CY108" s="44"/>
      <c r="CZ108" s="44"/>
      <c r="DA108" s="44"/>
      <c r="DB108" s="44"/>
      <c r="DC108" s="44"/>
      <c r="DD108" s="44"/>
      <c r="DE108" s="44"/>
      <c r="DF108" s="44"/>
      <c r="DG108" s="44"/>
      <c r="DH108" s="44"/>
      <c r="DI108" s="44"/>
      <c r="DJ108" s="44"/>
      <c r="DK108" s="44"/>
      <c r="DL108" s="44"/>
      <c r="DM108" s="44"/>
      <c r="DN108" s="44"/>
      <c r="DO108" s="44"/>
      <c r="DP108" s="44"/>
      <c r="DQ108" s="44"/>
      <c r="DR108" s="44"/>
      <c r="DS108" s="44"/>
      <c r="DT108" s="44"/>
      <c r="DU108" s="44"/>
      <c r="DV108" s="44"/>
      <c r="DW108" s="44"/>
      <c r="DX108" s="44"/>
      <c r="DY108" s="44"/>
      <c r="DZ108" s="44"/>
      <c r="EA108" s="44"/>
    </row>
    <row r="109" spans="1:131">
      <c r="A109" s="54"/>
      <c r="B109" s="55"/>
      <c r="C109" s="55"/>
      <c r="D109" s="68">
        <f t="shared" si="2"/>
        <v>0</v>
      </c>
      <c r="E109" s="70">
        <f t="shared" si="3"/>
        <v>0</v>
      </c>
      <c r="F109" s="63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  <c r="AZ109" s="51"/>
      <c r="BA109" s="51"/>
      <c r="BB109" s="51"/>
      <c r="BC109" s="51"/>
      <c r="BD109" s="51"/>
      <c r="BE109" s="51"/>
      <c r="BF109" s="51"/>
      <c r="BG109" s="51"/>
      <c r="BH109" s="51"/>
      <c r="BI109" s="51"/>
      <c r="BJ109" s="51"/>
      <c r="BK109" s="51"/>
      <c r="BL109" s="51"/>
      <c r="BM109" s="51"/>
      <c r="BN109" s="51"/>
      <c r="BO109" s="51"/>
      <c r="BP109" s="51"/>
      <c r="BQ109" s="51"/>
      <c r="BR109" s="51"/>
      <c r="BS109" s="51"/>
      <c r="BT109" s="51"/>
      <c r="BU109" s="51"/>
      <c r="BV109" s="51"/>
      <c r="BW109" s="51"/>
      <c r="BX109" s="51"/>
      <c r="BY109" s="51"/>
      <c r="BZ109" s="51"/>
      <c r="CA109" s="51"/>
      <c r="CB109" s="51"/>
      <c r="CC109" s="51"/>
      <c r="CD109" s="51"/>
      <c r="CE109" s="51"/>
      <c r="CF109" s="51"/>
      <c r="CG109" s="51"/>
      <c r="CH109" s="51"/>
      <c r="CI109" s="51"/>
      <c r="CJ109" s="51"/>
      <c r="CK109" s="51"/>
      <c r="CL109" s="51"/>
      <c r="CM109" s="51"/>
      <c r="CN109" s="51"/>
      <c r="CO109" s="51"/>
      <c r="CP109" s="51"/>
      <c r="CQ109" s="51"/>
      <c r="CR109" s="51"/>
      <c r="CS109" s="51"/>
      <c r="CT109" s="51"/>
      <c r="CU109" s="51"/>
      <c r="CV109" s="51"/>
      <c r="CW109" s="51"/>
      <c r="CX109" s="51"/>
      <c r="CY109" s="51"/>
      <c r="CZ109" s="51"/>
      <c r="DA109" s="51"/>
      <c r="DB109" s="51"/>
      <c r="DC109" s="51"/>
      <c r="DD109" s="51"/>
      <c r="DE109" s="51"/>
      <c r="DF109" s="51"/>
      <c r="DG109" s="51"/>
      <c r="DH109" s="51"/>
      <c r="DI109" s="51"/>
      <c r="DJ109" s="51"/>
      <c r="DK109" s="51"/>
      <c r="DL109" s="51"/>
      <c r="DM109" s="51"/>
      <c r="DN109" s="51"/>
      <c r="DO109" s="51"/>
      <c r="DP109" s="51"/>
      <c r="DQ109" s="51"/>
      <c r="DR109" s="51"/>
      <c r="DS109" s="51"/>
      <c r="DT109" s="51"/>
      <c r="DU109" s="51"/>
      <c r="DV109" s="51"/>
      <c r="DW109" s="51"/>
      <c r="DX109" s="51"/>
      <c r="DY109" s="51"/>
      <c r="DZ109" s="51"/>
      <c r="EA109" s="51"/>
    </row>
    <row r="110" spans="1:131" ht="15.75" thickBot="1">
      <c r="A110" s="39"/>
      <c r="B110" s="61"/>
      <c r="C110" s="61"/>
      <c r="D110" s="71">
        <f t="shared" si="2"/>
        <v>0</v>
      </c>
      <c r="E110" s="75">
        <f t="shared" si="3"/>
        <v>0</v>
      </c>
      <c r="F110" s="6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  <c r="CX110" s="44"/>
      <c r="CY110" s="44"/>
      <c r="CZ110" s="44"/>
      <c r="DA110" s="44"/>
      <c r="DB110" s="44"/>
      <c r="DC110" s="44"/>
      <c r="DD110" s="44"/>
      <c r="DE110" s="44"/>
      <c r="DF110" s="44"/>
      <c r="DG110" s="44"/>
      <c r="DH110" s="44"/>
      <c r="DI110" s="44"/>
      <c r="DJ110" s="44"/>
      <c r="DK110" s="44"/>
      <c r="DL110" s="44"/>
      <c r="DM110" s="44"/>
      <c r="DN110" s="44"/>
      <c r="DO110" s="44"/>
      <c r="DP110" s="44"/>
      <c r="DQ110" s="44"/>
      <c r="DR110" s="44"/>
      <c r="DS110" s="44"/>
      <c r="DT110" s="44"/>
      <c r="DU110" s="44"/>
      <c r="DV110" s="44"/>
      <c r="DW110" s="44"/>
      <c r="DX110" s="44"/>
      <c r="DY110" s="44"/>
      <c r="DZ110" s="44"/>
      <c r="EA110" s="44"/>
    </row>
  </sheetData>
  <mergeCells count="18">
    <mergeCell ref="X9:Y9"/>
    <mergeCell ref="Z9:AA9"/>
    <mergeCell ref="A7:B7"/>
    <mergeCell ref="A9:B9"/>
    <mergeCell ref="A1:AH1"/>
    <mergeCell ref="A2:AH2"/>
    <mergeCell ref="A3:AH3"/>
    <mergeCell ref="A4:AH4"/>
    <mergeCell ref="A6:B6"/>
    <mergeCell ref="F9:G9"/>
    <mergeCell ref="H9:I9"/>
    <mergeCell ref="J9:K9"/>
    <mergeCell ref="L9:M9"/>
    <mergeCell ref="N9:O9"/>
    <mergeCell ref="P9:Q9"/>
    <mergeCell ref="R9:S9"/>
    <mergeCell ref="T9:U9"/>
    <mergeCell ref="V9:W9"/>
  </mergeCells>
  <conditionalFormatting sqref="F11:EA110">
    <cfRule type="cellIs" dxfId="1" priority="2" operator="equal">
      <formula>"P"</formula>
    </cfRule>
    <cfRule type="cellIs" dxfId="0" priority="1" operator="equal">
      <formula>"F"</formula>
    </cfRule>
  </conditionalFormatting>
  <pageMargins left="0.19685039370078741" right="0" top="0.19685039370078741" bottom="0" header="0" footer="0"/>
  <pageSetup paperSize="9" scale="99" fitToWidth="0" fitToHeight="0" orientation="landscape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H38"/>
  <sheetViews>
    <sheetView workbookViewId="0">
      <selection activeCell="U14" sqref="U14"/>
    </sheetView>
  </sheetViews>
  <sheetFormatPr defaultRowHeight="15"/>
  <cols>
    <col min="1" max="1" width="7.85546875" style="21" customWidth="1"/>
    <col min="2" max="2" width="0.85546875" style="10" customWidth="1"/>
    <col min="3" max="3" width="53.28515625" style="10" customWidth="1"/>
    <col min="4" max="34" width="2.7109375" style="10" customWidth="1"/>
    <col min="35" max="35" width="13.28515625" style="10" bestFit="1" customWidth="1"/>
    <col min="36" max="16384" width="9.140625" style="10"/>
  </cols>
  <sheetData>
    <row r="1" spans="1:34" ht="51.75" customHeight="1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</row>
    <row r="2" spans="1:34">
      <c r="A2" s="100" t="s">
        <v>22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</row>
    <row r="3" spans="1:34">
      <c r="A3" s="100" t="s">
        <v>0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</row>
    <row r="4" spans="1:34">
      <c r="A4" s="100" t="s">
        <v>3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</row>
    <row r="5" spans="1:34" ht="12.75" customHeight="1">
      <c r="A5" s="2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2"/>
      <c r="N5" s="12"/>
      <c r="O5" s="12"/>
      <c r="P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</row>
    <row r="6" spans="1:34" s="33" customFormat="1" ht="14.25">
      <c r="A6" s="101" t="s">
        <v>1</v>
      </c>
      <c r="B6" s="101"/>
      <c r="C6" s="13" t="s">
        <v>29</v>
      </c>
      <c r="D6" s="15"/>
      <c r="E6" s="25"/>
      <c r="F6" s="26"/>
      <c r="G6" s="26"/>
      <c r="H6" s="26" t="s">
        <v>26</v>
      </c>
      <c r="I6" s="14"/>
      <c r="J6" s="27"/>
      <c r="K6" s="15"/>
      <c r="L6" s="34"/>
      <c r="M6" s="26"/>
      <c r="N6" s="26"/>
      <c r="O6" s="35" t="s">
        <v>31</v>
      </c>
      <c r="Q6" s="34"/>
      <c r="R6" s="35"/>
      <c r="S6" s="35"/>
      <c r="T6" s="25"/>
      <c r="U6" s="25"/>
      <c r="V6" s="36" t="s">
        <v>4</v>
      </c>
      <c r="X6" s="29" t="s">
        <v>30</v>
      </c>
      <c r="Y6" s="56"/>
      <c r="Z6" s="29"/>
      <c r="AA6" s="29"/>
      <c r="AB6" s="29"/>
      <c r="AC6" s="29"/>
      <c r="AD6" s="29"/>
      <c r="AE6" s="29"/>
      <c r="AF6" s="29"/>
      <c r="AG6" s="29"/>
      <c r="AH6" s="28"/>
    </row>
    <row r="7" spans="1:34" s="33" customFormat="1" ht="14.25">
      <c r="A7" s="98" t="s">
        <v>2</v>
      </c>
      <c r="B7" s="98"/>
      <c r="C7" s="16" t="s">
        <v>17</v>
      </c>
      <c r="D7" s="18" t="s">
        <v>23</v>
      </c>
      <c r="E7" s="48"/>
      <c r="F7" s="29"/>
      <c r="G7" s="18"/>
      <c r="H7" s="17"/>
      <c r="I7" s="16" t="s">
        <v>24</v>
      </c>
      <c r="J7" s="29"/>
      <c r="K7" s="29"/>
      <c r="L7" s="29"/>
      <c r="M7" s="29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31" t="s">
        <v>25</v>
      </c>
      <c r="AF7" s="31"/>
      <c r="AG7" s="32"/>
      <c r="AH7" s="37"/>
    </row>
    <row r="8" spans="1:34">
      <c r="A8" s="104" t="s">
        <v>5</v>
      </c>
      <c r="B8" s="104"/>
      <c r="C8" s="38" t="s">
        <v>6</v>
      </c>
      <c r="D8" s="105" t="s">
        <v>19</v>
      </c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</row>
    <row r="9" spans="1:34">
      <c r="D9" s="42">
        <v>9</v>
      </c>
      <c r="E9" s="42">
        <v>9</v>
      </c>
      <c r="F9" s="42">
        <v>9</v>
      </c>
      <c r="G9" s="42">
        <v>9</v>
      </c>
      <c r="H9" s="42">
        <v>16</v>
      </c>
      <c r="I9" s="42">
        <v>16</v>
      </c>
      <c r="J9" s="42">
        <v>16</v>
      </c>
      <c r="K9" s="42">
        <v>16</v>
      </c>
      <c r="L9" s="43">
        <v>23</v>
      </c>
      <c r="M9" s="43">
        <v>23</v>
      </c>
      <c r="N9" s="43">
        <v>23</v>
      </c>
      <c r="O9" s="43">
        <v>23</v>
      </c>
      <c r="P9" s="43">
        <v>30</v>
      </c>
      <c r="Q9" s="43">
        <v>30</v>
      </c>
      <c r="R9" s="43">
        <v>30</v>
      </c>
      <c r="S9" s="43">
        <v>30</v>
      </c>
      <c r="T9" s="57"/>
      <c r="U9" s="57"/>
      <c r="V9" s="57"/>
      <c r="W9" s="58"/>
      <c r="X9" s="59"/>
      <c r="Y9" s="57"/>
      <c r="Z9" s="57"/>
      <c r="AA9" s="57"/>
      <c r="AB9" s="57"/>
      <c r="AC9" s="57"/>
      <c r="AD9" s="57"/>
      <c r="AE9" s="57"/>
      <c r="AF9" s="57"/>
      <c r="AG9" s="58" t="s">
        <v>18</v>
      </c>
      <c r="AH9" s="59" t="s">
        <v>8</v>
      </c>
    </row>
    <row r="10" spans="1:34" s="19" customFormat="1">
      <c r="A10" s="39">
        <v>100851</v>
      </c>
      <c r="B10" s="40"/>
      <c r="C10" s="40" t="s">
        <v>9</v>
      </c>
      <c r="D10" s="44" t="s">
        <v>18</v>
      </c>
      <c r="E10" s="44" t="s">
        <v>18</v>
      </c>
      <c r="F10" s="44" t="s">
        <v>18</v>
      </c>
      <c r="G10" s="44" t="s">
        <v>18</v>
      </c>
      <c r="H10" s="44" t="s">
        <v>18</v>
      </c>
      <c r="I10" s="44" t="s">
        <v>18</v>
      </c>
      <c r="J10" s="44" t="s">
        <v>18</v>
      </c>
      <c r="K10" s="44" t="s">
        <v>18</v>
      </c>
      <c r="L10" s="44" t="s">
        <v>18</v>
      </c>
      <c r="M10" s="44" t="s">
        <v>18</v>
      </c>
      <c r="N10" s="44" t="s">
        <v>18</v>
      </c>
      <c r="O10" s="44" t="s">
        <v>18</v>
      </c>
      <c r="P10" s="44" t="s">
        <v>18</v>
      </c>
      <c r="Q10" s="44" t="s">
        <v>18</v>
      </c>
      <c r="R10" s="44" t="s">
        <v>18</v>
      </c>
      <c r="S10" s="44" t="s">
        <v>18</v>
      </c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>
        <f>COUNTIF(D10:AF10,"P")</f>
        <v>16</v>
      </c>
      <c r="AH10" s="45">
        <f>COUNTIF(D10:AF10,"F")</f>
        <v>0</v>
      </c>
    </row>
    <row r="11" spans="1:34" s="19" customFormat="1">
      <c r="A11" s="54" t="str">
        <f>"090679"</f>
        <v>090679</v>
      </c>
      <c r="B11" s="55"/>
      <c r="C11" s="55" t="s">
        <v>10</v>
      </c>
      <c r="D11" s="51" t="s">
        <v>18</v>
      </c>
      <c r="E11" s="51" t="s">
        <v>18</v>
      </c>
      <c r="F11" s="51" t="s">
        <v>18</v>
      </c>
      <c r="G11" s="51" t="s">
        <v>18</v>
      </c>
      <c r="H11" s="51" t="s">
        <v>18</v>
      </c>
      <c r="I11" s="51" t="s">
        <v>18</v>
      </c>
      <c r="J11" s="51" t="s">
        <v>18</v>
      </c>
      <c r="K11" s="51" t="s">
        <v>18</v>
      </c>
      <c r="L11" s="51" t="s">
        <v>18</v>
      </c>
      <c r="M11" s="51" t="s">
        <v>18</v>
      </c>
      <c r="N11" s="51" t="s">
        <v>18</v>
      </c>
      <c r="O11" s="51" t="s">
        <v>18</v>
      </c>
      <c r="P11" s="51" t="s">
        <v>18</v>
      </c>
      <c r="Q11" s="51" t="s">
        <v>18</v>
      </c>
      <c r="R11" s="51" t="s">
        <v>18</v>
      </c>
      <c r="S11" s="51" t="s">
        <v>18</v>
      </c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>
        <f t="shared" ref="AG11:AG18" si="0">COUNTIF(D11:AF11,"P")</f>
        <v>16</v>
      </c>
      <c r="AH11" s="53">
        <f t="shared" ref="AH11:AH18" si="1">COUNTIF(D11:AF11,"F")</f>
        <v>0</v>
      </c>
    </row>
    <row r="12" spans="1:34" s="19" customFormat="1">
      <c r="A12" s="39" t="str">
        <f>"090682"</f>
        <v>090682</v>
      </c>
      <c r="B12" s="40"/>
      <c r="C12" s="40" t="s">
        <v>11</v>
      </c>
      <c r="D12" s="44" t="s">
        <v>18</v>
      </c>
      <c r="E12" s="44" t="s">
        <v>18</v>
      </c>
      <c r="F12" s="44" t="s">
        <v>18</v>
      </c>
      <c r="G12" s="44" t="s">
        <v>18</v>
      </c>
      <c r="H12" s="44" t="s">
        <v>18</v>
      </c>
      <c r="I12" s="44" t="s">
        <v>18</v>
      </c>
      <c r="J12" s="44" t="s">
        <v>18</v>
      </c>
      <c r="K12" s="44" t="s">
        <v>18</v>
      </c>
      <c r="L12" s="44" t="s">
        <v>18</v>
      </c>
      <c r="M12" s="44" t="s">
        <v>18</v>
      </c>
      <c r="N12" s="44" t="s">
        <v>18</v>
      </c>
      <c r="O12" s="44" t="s">
        <v>18</v>
      </c>
      <c r="P12" s="44" t="s">
        <v>18</v>
      </c>
      <c r="Q12" s="44" t="s">
        <v>18</v>
      </c>
      <c r="R12" s="44" t="s">
        <v>18</v>
      </c>
      <c r="S12" s="44" t="s">
        <v>18</v>
      </c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>
        <f t="shared" si="0"/>
        <v>16</v>
      </c>
      <c r="AH12" s="45">
        <f t="shared" si="1"/>
        <v>0</v>
      </c>
    </row>
    <row r="13" spans="1:34" s="19" customFormat="1">
      <c r="A13" s="54">
        <v>100857</v>
      </c>
      <c r="B13" s="55"/>
      <c r="C13" s="55" t="s">
        <v>12</v>
      </c>
      <c r="D13" s="51" t="s">
        <v>18</v>
      </c>
      <c r="E13" s="51" t="s">
        <v>18</v>
      </c>
      <c r="F13" s="51" t="s">
        <v>18</v>
      </c>
      <c r="G13" s="51" t="s">
        <v>18</v>
      </c>
      <c r="H13" s="51" t="s">
        <v>18</v>
      </c>
      <c r="I13" s="51" t="s">
        <v>18</v>
      </c>
      <c r="J13" s="51" t="s">
        <v>18</v>
      </c>
      <c r="K13" s="51" t="s">
        <v>18</v>
      </c>
      <c r="L13" s="51" t="s">
        <v>18</v>
      </c>
      <c r="M13" s="51" t="s">
        <v>18</v>
      </c>
      <c r="N13" s="51" t="s">
        <v>18</v>
      </c>
      <c r="O13" s="51" t="s">
        <v>18</v>
      </c>
      <c r="P13" s="51" t="s">
        <v>18</v>
      </c>
      <c r="Q13" s="51" t="s">
        <v>18</v>
      </c>
      <c r="R13" s="51" t="s">
        <v>18</v>
      </c>
      <c r="S13" s="51" t="s">
        <v>18</v>
      </c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>
        <f t="shared" si="0"/>
        <v>16</v>
      </c>
      <c r="AH13" s="53">
        <f t="shared" si="1"/>
        <v>0</v>
      </c>
    </row>
    <row r="14" spans="1:34" s="19" customFormat="1">
      <c r="A14" s="39" t="str">
        <f>"080166"</f>
        <v>080166</v>
      </c>
      <c r="B14" s="40"/>
      <c r="C14" s="40" t="s">
        <v>13</v>
      </c>
      <c r="D14" s="44" t="s">
        <v>18</v>
      </c>
      <c r="E14" s="44" t="s">
        <v>18</v>
      </c>
      <c r="F14" s="44" t="s">
        <v>18</v>
      </c>
      <c r="G14" s="44" t="s">
        <v>18</v>
      </c>
      <c r="H14" s="44" t="s">
        <v>18</v>
      </c>
      <c r="I14" s="44" t="s">
        <v>18</v>
      </c>
      <c r="J14" s="44" t="s">
        <v>18</v>
      </c>
      <c r="K14" s="44" t="s">
        <v>18</v>
      </c>
      <c r="L14" s="44" t="s">
        <v>18</v>
      </c>
      <c r="M14" s="44" t="s">
        <v>18</v>
      </c>
      <c r="N14" s="44" t="s">
        <v>18</v>
      </c>
      <c r="O14" s="44" t="s">
        <v>18</v>
      </c>
      <c r="P14" s="44" t="s">
        <v>18</v>
      </c>
      <c r="Q14" s="44" t="s">
        <v>18</v>
      </c>
      <c r="R14" s="44" t="s">
        <v>18</v>
      </c>
      <c r="S14" s="44" t="s">
        <v>18</v>
      </c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>
        <f t="shared" si="0"/>
        <v>16</v>
      </c>
      <c r="AH14" s="45">
        <f t="shared" si="1"/>
        <v>0</v>
      </c>
    </row>
    <row r="15" spans="1:34" s="19" customFormat="1">
      <c r="A15" s="54" t="str">
        <f>"090686"</f>
        <v>090686</v>
      </c>
      <c r="B15" s="55"/>
      <c r="C15" s="55" t="s">
        <v>7</v>
      </c>
      <c r="D15" s="51" t="s">
        <v>18</v>
      </c>
      <c r="E15" s="51" t="s">
        <v>18</v>
      </c>
      <c r="F15" s="51" t="s">
        <v>18</v>
      </c>
      <c r="G15" s="51" t="s">
        <v>18</v>
      </c>
      <c r="H15" s="51" t="s">
        <v>18</v>
      </c>
      <c r="I15" s="51" t="s">
        <v>18</v>
      </c>
      <c r="J15" s="51" t="s">
        <v>18</v>
      </c>
      <c r="K15" s="51" t="s">
        <v>18</v>
      </c>
      <c r="L15" s="51" t="s">
        <v>18</v>
      </c>
      <c r="M15" s="51" t="s">
        <v>18</v>
      </c>
      <c r="N15" s="51" t="s">
        <v>18</v>
      </c>
      <c r="O15" s="51" t="s">
        <v>18</v>
      </c>
      <c r="P15" s="51" t="s">
        <v>18</v>
      </c>
      <c r="Q15" s="51" t="s">
        <v>18</v>
      </c>
      <c r="R15" s="51" t="s">
        <v>18</v>
      </c>
      <c r="S15" s="51" t="s">
        <v>18</v>
      </c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>
        <f t="shared" si="0"/>
        <v>16</v>
      </c>
      <c r="AH15" s="53">
        <f t="shared" si="1"/>
        <v>0</v>
      </c>
    </row>
    <row r="16" spans="1:34" s="19" customFormat="1">
      <c r="A16" s="39">
        <v>100859</v>
      </c>
      <c r="B16" s="40"/>
      <c r="C16" s="40" t="s">
        <v>14</v>
      </c>
      <c r="D16" s="44" t="s">
        <v>18</v>
      </c>
      <c r="E16" s="44" t="s">
        <v>18</v>
      </c>
      <c r="F16" s="44" t="s">
        <v>18</v>
      </c>
      <c r="G16" s="44" t="s">
        <v>18</v>
      </c>
      <c r="H16" s="44" t="s">
        <v>18</v>
      </c>
      <c r="I16" s="44" t="s">
        <v>18</v>
      </c>
      <c r="J16" s="44" t="s">
        <v>18</v>
      </c>
      <c r="K16" s="44" t="s">
        <v>18</v>
      </c>
      <c r="L16" s="44" t="s">
        <v>18</v>
      </c>
      <c r="M16" s="44" t="s">
        <v>18</v>
      </c>
      <c r="N16" s="44" t="s">
        <v>18</v>
      </c>
      <c r="O16" s="44" t="s">
        <v>18</v>
      </c>
      <c r="P16" s="44" t="s">
        <v>18</v>
      </c>
      <c r="Q16" s="44" t="s">
        <v>18</v>
      </c>
      <c r="R16" s="44" t="s">
        <v>18</v>
      </c>
      <c r="S16" s="44" t="s">
        <v>18</v>
      </c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>
        <f t="shared" si="0"/>
        <v>16</v>
      </c>
      <c r="AH16" s="45">
        <f t="shared" si="1"/>
        <v>0</v>
      </c>
    </row>
    <row r="17" spans="1:34" s="19" customFormat="1">
      <c r="A17" s="54" t="str">
        <f>"090688"</f>
        <v>090688</v>
      </c>
      <c r="B17" s="55"/>
      <c r="C17" s="55" t="s">
        <v>15</v>
      </c>
      <c r="D17" s="51" t="s">
        <v>18</v>
      </c>
      <c r="E17" s="51" t="s">
        <v>18</v>
      </c>
      <c r="F17" s="51" t="s">
        <v>18</v>
      </c>
      <c r="G17" s="51" t="s">
        <v>18</v>
      </c>
      <c r="H17" s="51" t="s">
        <v>18</v>
      </c>
      <c r="I17" s="51" t="s">
        <v>18</v>
      </c>
      <c r="J17" s="51" t="s">
        <v>18</v>
      </c>
      <c r="K17" s="51" t="s">
        <v>18</v>
      </c>
      <c r="L17" s="51" t="s">
        <v>18</v>
      </c>
      <c r="M17" s="51" t="s">
        <v>18</v>
      </c>
      <c r="N17" s="51" t="s">
        <v>18</v>
      </c>
      <c r="O17" s="51" t="s">
        <v>18</v>
      </c>
      <c r="P17" s="51" t="s">
        <v>18</v>
      </c>
      <c r="Q17" s="51" t="s">
        <v>18</v>
      </c>
      <c r="R17" s="51" t="s">
        <v>18</v>
      </c>
      <c r="S17" s="51" t="s">
        <v>18</v>
      </c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>
        <f t="shared" si="0"/>
        <v>16</v>
      </c>
      <c r="AH17" s="53">
        <f t="shared" si="1"/>
        <v>0</v>
      </c>
    </row>
    <row r="18" spans="1:34" s="19" customFormat="1">
      <c r="A18" s="39" t="str">
        <f>"094985"</f>
        <v>094985</v>
      </c>
      <c r="B18" s="40"/>
      <c r="C18" s="40" t="s">
        <v>16</v>
      </c>
      <c r="D18" s="44" t="s">
        <v>18</v>
      </c>
      <c r="E18" s="44" t="s">
        <v>18</v>
      </c>
      <c r="F18" s="44" t="s">
        <v>18</v>
      </c>
      <c r="G18" s="44" t="s">
        <v>18</v>
      </c>
      <c r="H18" s="44" t="s">
        <v>18</v>
      </c>
      <c r="I18" s="44" t="s">
        <v>18</v>
      </c>
      <c r="J18" s="44" t="s">
        <v>18</v>
      </c>
      <c r="K18" s="44" t="s">
        <v>18</v>
      </c>
      <c r="L18" s="44" t="s">
        <v>18</v>
      </c>
      <c r="M18" s="44" t="s">
        <v>18</v>
      </c>
      <c r="N18" s="44" t="s">
        <v>18</v>
      </c>
      <c r="O18" s="44" t="s">
        <v>18</v>
      </c>
      <c r="P18" s="44" t="s">
        <v>18</v>
      </c>
      <c r="Q18" s="44" t="s">
        <v>18</v>
      </c>
      <c r="R18" s="44" t="s">
        <v>18</v>
      </c>
      <c r="S18" s="44" t="s">
        <v>18</v>
      </c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>
        <f t="shared" si="0"/>
        <v>16</v>
      </c>
      <c r="AH18" s="45">
        <f t="shared" si="1"/>
        <v>0</v>
      </c>
    </row>
    <row r="19" spans="1:34" s="19" customForma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</row>
    <row r="20" spans="1:34" s="19" customFormat="1">
      <c r="A20" s="47" t="s">
        <v>27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</row>
    <row r="21" spans="1:34" s="19" customForma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</row>
    <row r="22" spans="1:34" s="19" customForma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</row>
    <row r="23" spans="1:34" s="19" customFormat="1">
      <c r="A23" s="106" t="s">
        <v>28</v>
      </c>
      <c r="B23" s="106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"/>
      <c r="AG23" s="10"/>
      <c r="AH23" s="10"/>
    </row>
    <row r="24" spans="1:34" s="19" customForma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</row>
    <row r="25" spans="1:34" s="19" customFormat="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</row>
    <row r="26" spans="1:34" s="19" customFormat="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</row>
    <row r="27" spans="1:34" s="19" customForma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</row>
    <row r="28" spans="1:34" s="19" customForma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</row>
    <row r="29" spans="1:34" s="19" customFormat="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</row>
    <row r="30" spans="1:34" s="19" customFormat="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</row>
    <row r="31" spans="1:34" s="19" customFormat="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</row>
    <row r="32" spans="1:34" s="19" customForma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</row>
    <row r="33" spans="1:34" s="19" customFormat="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</row>
    <row r="34" spans="1:34" s="19" customForma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</row>
    <row r="35" spans="1:34" s="1" customFormat="1">
      <c r="A35" s="22"/>
      <c r="B35" s="2"/>
      <c r="C35" s="3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</row>
    <row r="36" spans="1:34" s="1" customFormat="1">
      <c r="A36" s="23"/>
      <c r="B36" s="5"/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s="1" customFormat="1">
      <c r="A37" s="24"/>
      <c r="B37" s="8"/>
      <c r="C37" s="8"/>
      <c r="D37" s="8"/>
      <c r="E37" s="25" t="s">
        <v>20</v>
      </c>
      <c r="F37" s="46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46"/>
      <c r="V37" s="25" t="s">
        <v>21</v>
      </c>
      <c r="W37" s="46"/>
      <c r="X37" s="34"/>
      <c r="Y37" s="34"/>
      <c r="Z37" s="34"/>
      <c r="AA37" s="46"/>
      <c r="AB37" s="34"/>
      <c r="AC37" s="34"/>
      <c r="AD37" s="34"/>
      <c r="AE37" s="34"/>
      <c r="AF37" s="34"/>
      <c r="AG37" s="34"/>
      <c r="AH37" s="34"/>
    </row>
    <row r="38" spans="1:34" s="1" customFormat="1">
      <c r="A38" s="24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</row>
  </sheetData>
  <mergeCells count="9">
    <mergeCell ref="A8:B8"/>
    <mergeCell ref="D8:AH8"/>
    <mergeCell ref="A23:AE23"/>
    <mergeCell ref="A1:AH1"/>
    <mergeCell ref="A2:AH2"/>
    <mergeCell ref="A3:AH3"/>
    <mergeCell ref="A4:AH4"/>
    <mergeCell ref="A6:B6"/>
    <mergeCell ref="A7:B7"/>
  </mergeCells>
  <pageMargins left="0.19685039370078741" right="0" top="0.19685039370078741" bottom="0" header="0" footer="0"/>
  <pageSetup paperSize="9" scale="99" fitToWidth="0" fitToHeight="0" orientation="landscape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"/>
  <sheetViews>
    <sheetView tabSelected="1" workbookViewId="0">
      <selection activeCell="I12" sqref="I12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AH57"/>
  <sheetViews>
    <sheetView workbookViewId="0">
      <selection activeCell="C11" sqref="A10:C11"/>
    </sheetView>
  </sheetViews>
  <sheetFormatPr defaultRowHeight="15"/>
  <cols>
    <col min="1" max="1" width="7.85546875" style="21" customWidth="1"/>
    <col min="2" max="2" width="0.85546875" style="10" customWidth="1"/>
    <col min="3" max="3" width="53.28515625" style="10" customWidth="1"/>
    <col min="4" max="34" width="2.7109375" style="10" customWidth="1"/>
    <col min="35" max="35" width="13.28515625" style="10" bestFit="1" customWidth="1"/>
    <col min="36" max="16384" width="9.140625" style="10"/>
  </cols>
  <sheetData>
    <row r="1" spans="1:34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</row>
    <row r="2" spans="1:34">
      <c r="A2" s="100" t="s">
        <v>22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</row>
    <row r="3" spans="1:34">
      <c r="A3" s="100" t="s">
        <v>0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</row>
    <row r="4" spans="1:34">
      <c r="A4" s="100" t="s">
        <v>52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</row>
    <row r="5" spans="1:34">
      <c r="A5" s="2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2"/>
      <c r="N5" s="12"/>
      <c r="O5" s="12"/>
      <c r="P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</row>
    <row r="6" spans="1:34" s="33" customFormat="1">
      <c r="A6" s="101" t="s">
        <v>1</v>
      </c>
      <c r="B6" s="101"/>
      <c r="C6" s="13" t="s">
        <v>29</v>
      </c>
      <c r="D6" s="15"/>
      <c r="E6" s="25"/>
      <c r="F6" s="26"/>
      <c r="G6" s="26"/>
      <c r="I6" s="14"/>
      <c r="J6" s="27"/>
      <c r="K6" s="15"/>
      <c r="L6" s="34"/>
      <c r="M6" s="26" t="s">
        <v>53</v>
      </c>
      <c r="N6" s="26"/>
      <c r="Q6" s="34"/>
      <c r="R6" s="35"/>
      <c r="S6" s="35"/>
      <c r="T6" s="25"/>
      <c r="U6" s="25"/>
      <c r="V6" s="36"/>
      <c r="W6" s="35" t="s">
        <v>54</v>
      </c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</row>
    <row r="7" spans="1:34" s="33" customFormat="1">
      <c r="A7" s="98" t="s">
        <v>2</v>
      </c>
      <c r="B7" s="98"/>
      <c r="C7" s="87" t="s">
        <v>55</v>
      </c>
      <c r="D7" s="18" t="s">
        <v>23</v>
      </c>
      <c r="E7" s="48"/>
      <c r="F7" s="29"/>
      <c r="G7" s="18"/>
      <c r="H7" s="17"/>
      <c r="I7" s="16" t="s">
        <v>24</v>
      </c>
      <c r="J7" s="29"/>
      <c r="K7" s="29"/>
      <c r="L7" s="29"/>
      <c r="M7" s="29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88" t="s">
        <v>25</v>
      </c>
      <c r="AF7" s="88"/>
      <c r="AG7" s="88"/>
      <c r="AH7" s="86"/>
    </row>
    <row r="8" spans="1:34">
      <c r="A8" s="104"/>
      <c r="B8" s="104"/>
      <c r="C8" s="38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</row>
    <row r="9" spans="1:34">
      <c r="A9" s="89" t="s">
        <v>19</v>
      </c>
    </row>
    <row r="10" spans="1:34" s="19" customFormat="1">
      <c r="A10" s="90" t="s">
        <v>56</v>
      </c>
      <c r="B10" s="91"/>
      <c r="C10" s="92" t="s">
        <v>57</v>
      </c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4"/>
    </row>
    <row r="11" spans="1:34" s="19" customFormat="1">
      <c r="A11" s="90" t="s">
        <v>58</v>
      </c>
      <c r="B11" s="91"/>
      <c r="C11" s="92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6"/>
    </row>
    <row r="12" spans="1:34" s="19" customFormat="1">
      <c r="A12" s="90" t="s">
        <v>59</v>
      </c>
      <c r="B12" s="91"/>
      <c r="C12" s="92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4"/>
    </row>
    <row r="13" spans="1:34" s="19" customFormat="1">
      <c r="A13" s="90" t="s">
        <v>59</v>
      </c>
      <c r="B13" s="91"/>
      <c r="C13" s="92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6"/>
    </row>
    <row r="14" spans="1:34" s="19" customFormat="1">
      <c r="A14" s="97" t="s">
        <v>59</v>
      </c>
      <c r="B14" s="91"/>
      <c r="C14" s="92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4"/>
    </row>
    <row r="15" spans="1:34" s="19" customFormat="1">
      <c r="A15" s="97" t="s">
        <v>59</v>
      </c>
      <c r="B15" s="91"/>
      <c r="C15" s="92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6"/>
    </row>
    <row r="16" spans="1:34" s="19" customFormat="1">
      <c r="A16" s="97" t="s">
        <v>60</v>
      </c>
      <c r="B16" s="91"/>
      <c r="C16" s="92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4"/>
    </row>
    <row r="17" spans="1:34" s="19" customFormat="1">
      <c r="A17" s="97" t="s">
        <v>58</v>
      </c>
      <c r="B17" s="91"/>
      <c r="C17" s="92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6"/>
    </row>
    <row r="18" spans="1:34" s="19" customFormat="1">
      <c r="A18" s="97" t="s">
        <v>61</v>
      </c>
      <c r="B18" s="91"/>
      <c r="C18" s="92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93"/>
      <c r="AG18" s="93"/>
      <c r="AH18" s="94"/>
    </row>
    <row r="19" spans="1:34" s="19" customFormat="1">
      <c r="A19" s="97" t="s">
        <v>59</v>
      </c>
      <c r="B19" s="91"/>
      <c r="C19" s="92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6"/>
    </row>
    <row r="20" spans="1:34" s="19" customFormat="1">
      <c r="A20" s="97" t="s">
        <v>59</v>
      </c>
      <c r="B20" s="91"/>
      <c r="C20" s="92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F20" s="93"/>
      <c r="AG20" s="93"/>
      <c r="AH20" s="94"/>
    </row>
    <row r="21" spans="1:34" s="19" customFormat="1">
      <c r="A21" s="97"/>
      <c r="B21" s="91"/>
      <c r="C21" s="92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6"/>
    </row>
    <row r="22" spans="1:34" s="19" customFormat="1">
      <c r="A22" s="97"/>
      <c r="B22" s="91"/>
      <c r="C22" s="92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93"/>
      <c r="AG22" s="93"/>
      <c r="AH22" s="94"/>
    </row>
    <row r="23" spans="1:34" s="19" customFormat="1">
      <c r="A23" s="97"/>
      <c r="B23" s="91"/>
      <c r="C23" s="92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  <c r="AC23" s="95"/>
      <c r="AD23" s="95"/>
      <c r="AE23" s="95"/>
      <c r="AF23" s="95"/>
      <c r="AG23" s="95"/>
      <c r="AH23" s="96"/>
    </row>
    <row r="24" spans="1:34" s="19" customFormat="1">
      <c r="A24" s="97"/>
      <c r="B24" s="91"/>
      <c r="C24" s="92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4"/>
    </row>
    <row r="25" spans="1:34" s="19" customFormat="1">
      <c r="A25" s="97"/>
      <c r="B25" s="91"/>
      <c r="C25" s="92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4"/>
    </row>
    <row r="26" spans="1:34" s="19" customFormat="1">
      <c r="A26" s="90"/>
      <c r="B26" s="91"/>
      <c r="C26" s="92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  <c r="AG26" s="93"/>
      <c r="AH26" s="94"/>
    </row>
    <row r="27" spans="1:34" s="19" customFormat="1">
      <c r="A27" s="90"/>
      <c r="B27" s="91"/>
      <c r="C27" s="92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6"/>
    </row>
    <row r="28" spans="1:34" s="19" customFormat="1">
      <c r="A28" s="90"/>
      <c r="B28" s="91"/>
      <c r="C28" s="92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93"/>
      <c r="AG28" s="93"/>
      <c r="AH28" s="94"/>
    </row>
    <row r="29" spans="1:34" s="19" customFormat="1">
      <c r="A29" s="90"/>
      <c r="B29" s="91"/>
      <c r="C29" s="92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6"/>
    </row>
    <row r="30" spans="1:34" s="19" customFormat="1">
      <c r="A30" s="97"/>
      <c r="B30" s="91"/>
      <c r="C30" s="92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4"/>
    </row>
    <row r="31" spans="1:34" s="19" customFormat="1">
      <c r="A31" s="97"/>
      <c r="B31" s="91"/>
      <c r="C31" s="92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6"/>
    </row>
    <row r="32" spans="1:34" s="19" customFormat="1">
      <c r="A32" s="97"/>
      <c r="B32" s="91"/>
      <c r="C32" s="92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4"/>
    </row>
    <row r="33" spans="1:34" s="19" customFormat="1">
      <c r="A33" s="97"/>
      <c r="B33" s="91"/>
      <c r="C33" s="92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6"/>
    </row>
    <row r="34" spans="1:34" s="19" customFormat="1">
      <c r="A34" s="97"/>
      <c r="B34" s="91"/>
      <c r="C34" s="92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4"/>
    </row>
    <row r="35" spans="1:34" s="1" customFormat="1">
      <c r="A35" s="97"/>
      <c r="B35" s="91"/>
      <c r="C35" s="92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6"/>
    </row>
    <row r="36" spans="1:34" s="1" customFormat="1">
      <c r="A36" s="97"/>
      <c r="B36" s="91"/>
      <c r="C36" s="92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4"/>
    </row>
    <row r="37" spans="1:34" s="1" customFormat="1">
      <c r="A37" s="97"/>
      <c r="B37" s="91"/>
      <c r="C37" s="92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6"/>
    </row>
    <row r="38" spans="1:34" s="1" customFormat="1">
      <c r="A38" s="97"/>
      <c r="B38" s="91"/>
      <c r="C38" s="92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93"/>
      <c r="AG38" s="93"/>
      <c r="AH38" s="94"/>
    </row>
    <row r="39" spans="1:34">
      <c r="A39" s="97"/>
      <c r="B39" s="91"/>
      <c r="C39" s="92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6"/>
    </row>
    <row r="40" spans="1:34">
      <c r="A40" s="97"/>
      <c r="B40" s="91"/>
      <c r="C40" s="92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4"/>
    </row>
    <row r="41" spans="1:34">
      <c r="A41" s="97"/>
      <c r="B41" s="91"/>
      <c r="C41" s="92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4"/>
    </row>
    <row r="42" spans="1:34">
      <c r="A42" s="90"/>
      <c r="B42" s="91"/>
      <c r="C42" s="92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4"/>
    </row>
    <row r="43" spans="1:34">
      <c r="A43" s="90"/>
      <c r="B43" s="91"/>
      <c r="C43" s="92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6"/>
    </row>
    <row r="44" spans="1:34">
      <c r="A44" s="90"/>
      <c r="B44" s="91"/>
      <c r="C44" s="92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4"/>
    </row>
    <row r="45" spans="1:34">
      <c r="A45" s="90"/>
      <c r="B45" s="91"/>
      <c r="C45" s="92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6"/>
    </row>
    <row r="46" spans="1:34">
      <c r="A46" s="97"/>
      <c r="B46" s="91"/>
      <c r="C46" s="92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4"/>
    </row>
    <row r="47" spans="1:34">
      <c r="A47" s="97"/>
      <c r="B47" s="91"/>
      <c r="C47" s="92"/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95"/>
      <c r="AF47" s="95"/>
      <c r="AG47" s="95"/>
      <c r="AH47" s="96"/>
    </row>
    <row r="48" spans="1:34">
      <c r="A48" s="97"/>
      <c r="B48" s="91"/>
      <c r="C48" s="92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4"/>
    </row>
    <row r="49" spans="1:34">
      <c r="A49" s="97"/>
      <c r="B49" s="91"/>
      <c r="C49" s="92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  <c r="AC49" s="95"/>
      <c r="AD49" s="95"/>
      <c r="AE49" s="95"/>
      <c r="AF49" s="95"/>
      <c r="AG49" s="95"/>
      <c r="AH49" s="96"/>
    </row>
    <row r="50" spans="1:34">
      <c r="A50" s="97"/>
      <c r="B50" s="91"/>
      <c r="C50" s="92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4"/>
    </row>
    <row r="51" spans="1:34">
      <c r="A51" s="97"/>
      <c r="B51" s="91"/>
      <c r="C51" s="92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  <c r="AC51" s="95"/>
      <c r="AD51" s="95"/>
      <c r="AE51" s="95"/>
      <c r="AF51" s="95"/>
      <c r="AG51" s="95"/>
      <c r="AH51" s="96"/>
    </row>
    <row r="52" spans="1:34">
      <c r="A52" s="97"/>
      <c r="B52" s="91"/>
      <c r="C52" s="92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3"/>
      <c r="AF52" s="93"/>
      <c r="AG52" s="93"/>
      <c r="AH52" s="94"/>
    </row>
    <row r="53" spans="1:34">
      <c r="A53" s="97"/>
      <c r="B53" s="91"/>
      <c r="C53" s="92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6"/>
    </row>
    <row r="54" spans="1:34">
      <c r="A54" s="97"/>
      <c r="B54" s="91"/>
      <c r="C54" s="92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3"/>
      <c r="AF54" s="93"/>
      <c r="AG54" s="93"/>
      <c r="AH54" s="94"/>
    </row>
    <row r="55" spans="1:34">
      <c r="A55" s="97"/>
      <c r="B55" s="91"/>
      <c r="C55" s="92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6"/>
    </row>
    <row r="56" spans="1:34">
      <c r="A56" s="97"/>
      <c r="B56" s="91"/>
      <c r="C56" s="92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3"/>
      <c r="AH56" s="94"/>
    </row>
    <row r="57" spans="1:34">
      <c r="A57" s="97"/>
      <c r="B57" s="91"/>
      <c r="C57" s="92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4"/>
    </row>
  </sheetData>
  <mergeCells count="8">
    <mergeCell ref="A8:B8"/>
    <mergeCell ref="D8:AH8"/>
    <mergeCell ref="A1:AH1"/>
    <mergeCell ref="A2:AH2"/>
    <mergeCell ref="A3:AH3"/>
    <mergeCell ref="A4:AH4"/>
    <mergeCell ref="A6:B6"/>
    <mergeCell ref="A7:B7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</vt:lpstr>
      <vt:lpstr>jan_2 (2)</vt:lpstr>
      <vt:lpstr>Interface</vt:lpstr>
      <vt:lpstr>Diario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aninha</dc:creator>
  <cp:lastModifiedBy>Esdras</cp:lastModifiedBy>
  <cp:lastPrinted>2013-03-07T05:31:59Z</cp:lastPrinted>
  <dcterms:created xsi:type="dcterms:W3CDTF">2012-05-27T17:19:40Z</dcterms:created>
  <dcterms:modified xsi:type="dcterms:W3CDTF">2013-04-16T01:47:35Z</dcterms:modified>
</cp:coreProperties>
</file>